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GitHub\LPAV-2017-1\TP4\"/>
    </mc:Choice>
  </mc:AlternateContent>
  <bookViews>
    <workbookView xWindow="0" yWindow="0" windowWidth="28800" windowHeight="12585"/>
  </bookViews>
  <sheets>
    <sheet name="parte1" sheetId="1" r:id="rId1"/>
    <sheet name="1k(1)" sheetId="2" r:id="rId2"/>
    <sheet name="1k(2)" sheetId="10" r:id="rId3"/>
    <sheet name="5k(1)" sheetId="11" r:id="rId4"/>
    <sheet name="5k(2)" sheetId="12" r:id="rId5"/>
    <sheet name="10k(1)" sheetId="14" r:id="rId6"/>
    <sheet name="10k(2)" sheetId="13" r:id="rId7"/>
    <sheet name="20k(1)" sheetId="15" r:id="rId8"/>
    <sheet name="20k(2)" sheetId="16" r:id="rId9"/>
    <sheet name="50k(1)" sheetId="17" r:id="rId10"/>
    <sheet name="50k(2)" sheetId="18" r:id="rId11"/>
    <sheet name="100k(1)" sheetId="19" r:id="rId12"/>
    <sheet name="100k(2)" sheetId="20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" i="1" l="1"/>
  <c r="I20" i="1"/>
  <c r="I19" i="1"/>
  <c r="I18" i="1"/>
  <c r="H21" i="1"/>
  <c r="H20" i="1"/>
  <c r="H19" i="1"/>
  <c r="H18" i="1"/>
  <c r="H17" i="1"/>
  <c r="I17" i="1"/>
  <c r="G21" i="1"/>
  <c r="G20" i="1"/>
  <c r="G19" i="1"/>
  <c r="G18" i="1"/>
  <c r="G17" i="1"/>
  <c r="F21" i="1"/>
  <c r="F20" i="1"/>
  <c r="F19" i="1"/>
  <c r="F18" i="1"/>
  <c r="F17" i="1"/>
  <c r="E20" i="1"/>
  <c r="E19" i="1"/>
  <c r="E18" i="1"/>
  <c r="E21" i="1"/>
  <c r="E17" i="1"/>
  <c r="D21" i="1"/>
  <c r="D20" i="1"/>
  <c r="D19" i="1"/>
  <c r="D18" i="1"/>
  <c r="D17" i="1"/>
  <c r="I15" i="1"/>
  <c r="I14" i="1"/>
  <c r="I13" i="1"/>
  <c r="I12" i="1"/>
  <c r="I11" i="1"/>
  <c r="H15" i="1"/>
  <c r="H14" i="1"/>
  <c r="H13" i="1"/>
  <c r="H12" i="1"/>
  <c r="H11" i="1"/>
  <c r="G15" i="1"/>
  <c r="G14" i="1"/>
  <c r="G13" i="1"/>
  <c r="G12" i="1"/>
  <c r="G11" i="1"/>
  <c r="F15" i="1"/>
  <c r="F14" i="1"/>
  <c r="F13" i="1"/>
  <c r="F12" i="1"/>
  <c r="F11" i="1"/>
  <c r="E15" i="1"/>
  <c r="E14" i="1"/>
  <c r="E12" i="1"/>
  <c r="E13" i="1"/>
  <c r="E11" i="1"/>
  <c r="D15" i="1"/>
  <c r="D14" i="1"/>
  <c r="D13" i="1"/>
  <c r="D12" i="1"/>
  <c r="D11" i="1"/>
  <c r="I9" i="1"/>
  <c r="I8" i="1"/>
  <c r="I7" i="1"/>
  <c r="I6" i="1"/>
  <c r="H9" i="1"/>
  <c r="H8" i="1"/>
  <c r="H7" i="1"/>
  <c r="H6" i="1"/>
  <c r="G9" i="1"/>
  <c r="G8" i="1"/>
  <c r="G7" i="1"/>
  <c r="G6" i="1"/>
  <c r="F9" i="1"/>
  <c r="F8" i="1"/>
  <c r="F7" i="1"/>
  <c r="F6" i="1"/>
  <c r="E9" i="1"/>
  <c r="E8" i="1"/>
  <c r="E7" i="1"/>
  <c r="E6" i="1"/>
  <c r="D9" i="1"/>
  <c r="D8" i="1"/>
  <c r="D7" i="1"/>
  <c r="D6" i="1"/>
  <c r="I5" i="1"/>
  <c r="H5" i="1"/>
  <c r="G5" i="1"/>
  <c r="F5" i="1"/>
  <c r="E5" i="1"/>
  <c r="D5" i="1"/>
  <c r="F28" i="20"/>
  <c r="E28" i="20"/>
  <c r="D28" i="20"/>
  <c r="F15" i="20"/>
  <c r="E15" i="20"/>
  <c r="D15" i="20"/>
  <c r="F2" i="20"/>
  <c r="E2" i="20"/>
  <c r="D2" i="20"/>
  <c r="I16" i="1"/>
  <c r="I10" i="1"/>
  <c r="I4" i="1"/>
  <c r="F28" i="19"/>
  <c r="E28" i="19"/>
  <c r="D28" i="19"/>
  <c r="F15" i="19"/>
  <c r="E15" i="19"/>
  <c r="D15" i="19"/>
  <c r="F2" i="19"/>
  <c r="E2" i="19"/>
  <c r="D2" i="19"/>
  <c r="F28" i="18"/>
  <c r="E28" i="18"/>
  <c r="D28" i="18"/>
  <c r="F15" i="18"/>
  <c r="E15" i="18"/>
  <c r="D15" i="18"/>
  <c r="F2" i="18"/>
  <c r="E2" i="18"/>
  <c r="D2" i="18"/>
  <c r="H16" i="1"/>
  <c r="H10" i="1"/>
  <c r="H4" i="1"/>
  <c r="F28" i="17"/>
  <c r="E28" i="17"/>
  <c r="D28" i="17"/>
  <c r="F15" i="17"/>
  <c r="E15" i="17"/>
  <c r="D15" i="17"/>
  <c r="F2" i="17"/>
  <c r="E2" i="17"/>
  <c r="D2" i="17"/>
  <c r="F4" i="1"/>
  <c r="G4" i="1"/>
  <c r="G16" i="1"/>
  <c r="G10" i="1"/>
  <c r="F28" i="16"/>
  <c r="E28" i="16"/>
  <c r="D28" i="16"/>
  <c r="F15" i="16"/>
  <c r="E15" i="16"/>
  <c r="D15" i="16"/>
  <c r="F2" i="16"/>
  <c r="E2" i="16"/>
  <c r="D2" i="16"/>
  <c r="F28" i="15"/>
  <c r="E28" i="15"/>
  <c r="D28" i="15"/>
  <c r="F15" i="15"/>
  <c r="E15" i="15"/>
  <c r="D15" i="15"/>
  <c r="F2" i="15"/>
  <c r="E2" i="15"/>
  <c r="D2" i="15"/>
  <c r="F16" i="1"/>
  <c r="E16" i="1"/>
  <c r="D16" i="1"/>
  <c r="F10" i="1"/>
  <c r="E10" i="1"/>
  <c r="D10" i="1"/>
  <c r="E2" i="14"/>
  <c r="F28" i="14"/>
  <c r="E28" i="14"/>
  <c r="D28" i="14"/>
  <c r="F15" i="14"/>
  <c r="E15" i="14"/>
  <c r="D15" i="14"/>
  <c r="F2" i="14"/>
  <c r="D2" i="14"/>
  <c r="F28" i="13"/>
  <c r="E28" i="13"/>
  <c r="D28" i="13"/>
  <c r="F15" i="13"/>
  <c r="E15" i="13"/>
  <c r="D15" i="13"/>
  <c r="F2" i="13"/>
  <c r="E2" i="13"/>
  <c r="D2" i="13"/>
  <c r="E4" i="1"/>
  <c r="D4" i="1"/>
  <c r="F28" i="12"/>
  <c r="E28" i="12"/>
  <c r="D28" i="12"/>
  <c r="F15" i="12"/>
  <c r="E15" i="12"/>
  <c r="D15" i="12"/>
  <c r="F2" i="12"/>
  <c r="E2" i="12"/>
  <c r="D2" i="12"/>
  <c r="F28" i="11"/>
  <c r="E28" i="11"/>
  <c r="D28" i="11"/>
  <c r="F15" i="11"/>
  <c r="E15" i="11"/>
  <c r="D15" i="11"/>
  <c r="F2" i="11"/>
  <c r="E2" i="11"/>
  <c r="D2" i="11"/>
  <c r="D28" i="10"/>
  <c r="F28" i="10"/>
  <c r="E28" i="10"/>
  <c r="F15" i="10"/>
  <c r="E15" i="10"/>
  <c r="D15" i="10"/>
  <c r="F2" i="10"/>
  <c r="E2" i="10"/>
  <c r="D2" i="10"/>
  <c r="F15" i="2"/>
  <c r="E15" i="2"/>
  <c r="D15" i="2"/>
  <c r="D28" i="2"/>
  <c r="E28" i="2"/>
  <c r="F28" i="2"/>
  <c r="D2" i="2"/>
  <c r="E2" i="2"/>
  <c r="F2" i="2"/>
</calcChain>
</file>

<file path=xl/sharedStrings.xml><?xml version="1.0" encoding="utf-8"?>
<sst xmlns="http://schemas.openxmlformats.org/spreadsheetml/2006/main" count="174" uniqueCount="27">
  <si>
    <t>n</t>
  </si>
  <si>
    <t>Bolha</t>
  </si>
  <si>
    <t>Seleção</t>
  </si>
  <si>
    <t>Inserção</t>
  </si>
  <si>
    <t>Heapsort</t>
  </si>
  <si>
    <t>Mergesort</t>
  </si>
  <si>
    <t>Quicksort</t>
  </si>
  <si>
    <t>1k</t>
  </si>
  <si>
    <t>5k</t>
  </si>
  <si>
    <t>10k</t>
  </si>
  <si>
    <t>20k</t>
  </si>
  <si>
    <t>50k</t>
  </si>
  <si>
    <t>100k</t>
  </si>
  <si>
    <t>Métrica</t>
  </si>
  <si>
    <t>Aleatórios</t>
  </si>
  <si>
    <t>Número de Comparações</t>
  </si>
  <si>
    <t>Número de Trocas</t>
  </si>
  <si>
    <t>bubble</t>
  </si>
  <si>
    <t>comparações</t>
  </si>
  <si>
    <t>trocas</t>
  </si>
  <si>
    <t>heap</t>
  </si>
  <si>
    <t>insertion</t>
  </si>
  <si>
    <t>tempo (ms)</t>
  </si>
  <si>
    <t>merge</t>
  </si>
  <si>
    <t>quick</t>
  </si>
  <si>
    <t>selection</t>
  </si>
  <si>
    <t>Tempo de Execução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</si>
</sst>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nonymous Pro"/>
      <family val="3"/>
    </font>
    <font>
      <sz val="10"/>
      <color theme="1"/>
      <name val="Calibri"/>
      <family val="2"/>
      <scheme val="minor"/>
    </font>
    <font>
      <b/>
      <sz val="14"/>
      <color theme="0"/>
      <name val="Consolas"/>
      <family val="3"/>
    </font>
    <font>
      <sz val="10"/>
      <color theme="2" tint="-0.499984740745262"/>
      <name val="Inconsolata"/>
      <family val="3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9"/>
      </left>
      <right style="thin">
        <color theme="9"/>
      </right>
      <top style="double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4" fontId="1" fillId="0" borderId="3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right" vertical="center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right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wrapText="1"/>
    </xf>
    <xf numFmtId="0" fontId="0" fillId="0" borderId="16" xfId="0" applyBorder="1"/>
    <xf numFmtId="0" fontId="0" fillId="0" borderId="13" xfId="0" applyBorder="1"/>
    <xf numFmtId="0" fontId="1" fillId="0" borderId="1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wrapText="1"/>
    </xf>
    <xf numFmtId="4" fontId="4" fillId="0" borderId="7" xfId="0" applyNumberFormat="1" applyFont="1" applyBorder="1" applyAlignment="1">
      <alignment horizontal="right"/>
    </xf>
    <xf numFmtId="4" fontId="4" fillId="0" borderId="8" xfId="0" applyNumberFormat="1" applyFont="1" applyBorder="1" applyAlignment="1">
      <alignment horizontal="right"/>
    </xf>
    <xf numFmtId="4" fontId="4" fillId="0" borderId="2" xfId="0" applyNumberFormat="1" applyFont="1" applyBorder="1" applyAlignment="1">
      <alignment horizontal="right"/>
    </xf>
    <xf numFmtId="4" fontId="4" fillId="0" borderId="10" xfId="0" applyNumberFormat="1" applyFont="1" applyBorder="1" applyAlignment="1">
      <alignment horizontal="right"/>
    </xf>
    <xf numFmtId="4" fontId="4" fillId="0" borderId="4" xfId="0" applyNumberFormat="1" applyFont="1" applyBorder="1" applyAlignment="1">
      <alignment horizontal="right"/>
    </xf>
    <xf numFmtId="4" fontId="4" fillId="0" borderId="19" xfId="0" applyNumberFormat="1" applyFont="1" applyBorder="1" applyAlignment="1">
      <alignment horizontal="right"/>
    </xf>
    <xf numFmtId="4" fontId="4" fillId="0" borderId="20" xfId="0" applyNumberFormat="1" applyFont="1" applyBorder="1" applyAlignment="1">
      <alignment horizontal="right"/>
    </xf>
  </cellXfs>
  <cellStyles count="1">
    <cellStyle name="Normal" xfId="0" builtinId="0"/>
  </cellStyles>
  <dxfs count="278"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7"/>
      <tableStyleElement type="headerRow" dxfId="2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bubble1_" displayName="bubble1_" ref="A2:C12" headerRowDxfId="275" dataDxfId="274">
  <autoFilter ref="A2:C12">
    <filterColumn colId="0" hiddenButton="1"/>
    <filterColumn colId="1" hiddenButton="1"/>
    <filterColumn colId="2" hiddenButton="1"/>
  </autoFilter>
  <tableColumns count="3">
    <tableColumn id="1" name="comparações" dataDxfId="261"/>
    <tableColumn id="2" name="trocas" dataDxfId="260"/>
    <tableColumn id="3" name="tempo (ms)" dataDxfId="255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4" name="heap1" displayName="heap1" ref="A15:C25" headerRowDxfId="267" dataDxfId="266" totalsRowDxfId="265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59" totalsRowDxfId="264"/>
    <tableColumn id="2" name="trocas" totalsRowFunction="average" dataDxfId="258" totalsRowDxfId="263"/>
    <tableColumn id="3" name="tempo (ms)" totalsRowFunction="average" dataDxfId="254" totalsRowDxfId="262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5" name="insertion1" displayName="insertion1" ref="A28:C38" headerRowDxfId="273" dataDxfId="272" totalsRowDxfId="271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57" totalsRowDxfId="270"/>
    <tableColumn id="2" name="trocas" totalsRowFunction="average" dataDxfId="256" totalsRowDxfId="269"/>
    <tableColumn id="3" name="tempo (ms)" totalsRowFunction="average" dataDxfId="253" totalsRowDxfId="26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merge1" displayName="merge1" ref="A2:C12" headerRowDxfId="252" dataDxfId="251">
  <autoFilter ref="A2:C12">
    <filterColumn colId="0" hiddenButton="1"/>
    <filterColumn colId="1" hiddenButton="1"/>
    <filterColumn colId="2" hiddenButton="1"/>
  </autoFilter>
  <tableColumns count="3">
    <tableColumn id="1" name="comparações" dataDxfId="250"/>
    <tableColumn id="2" name="trocas" dataDxfId="249"/>
    <tableColumn id="3" name="tempo (ms)" dataDxfId="248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7" name="quick1" displayName="quick1" ref="A15:C25" headerRowDxfId="247" dataDxfId="246" totalsRowDxfId="245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43" totalsRowDxfId="244"/>
    <tableColumn id="2" name="trocas" totalsRowFunction="average" dataDxfId="241" totalsRowDxfId="242"/>
    <tableColumn id="3" name="tempo (ms)" totalsRowFunction="average" dataDxfId="239" totalsRowDxfId="240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selection1" displayName="selection1" ref="A28:C38" headerRowDxfId="238" dataDxfId="237" totalsRowDxfId="236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34" totalsRowDxfId="235"/>
    <tableColumn id="2" name="trocas" totalsRowFunction="average" dataDxfId="232" totalsRowDxfId="233"/>
    <tableColumn id="3" name="tempo (ms)" totalsRowFunction="average" dataDxfId="230" totalsRowDxfId="231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bubble5_" displayName="bubble5_" ref="A2:C12" headerRowDxfId="229" dataDxfId="228">
  <autoFilter ref="A2:C12">
    <filterColumn colId="0" hiddenButton="1"/>
    <filterColumn colId="1" hiddenButton="1"/>
    <filterColumn colId="2" hiddenButton="1"/>
  </autoFilter>
  <tableColumns count="3">
    <tableColumn id="1" name="comparações" dataDxfId="227"/>
    <tableColumn id="2" name="trocas" dataDxfId="226"/>
    <tableColumn id="3" name="tempo (ms)" dataDxfId="225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0" name="heap5" displayName="heap5" ref="A15:C25" headerRowDxfId="224" dataDxfId="223" totalsRowDxfId="222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20" totalsRowDxfId="221"/>
    <tableColumn id="2" name="trocas" totalsRowFunction="average" dataDxfId="218" totalsRowDxfId="219"/>
    <tableColumn id="3" name="tempo (ms)" totalsRowFunction="average" dataDxfId="216" totalsRowDxfId="217"/>
  </tableColumns>
  <tableStyleInfo name="TableStyleMedium5" showFirstColumn="0" showLastColumn="0" showRowStripes="1" showColumnStripes="0"/>
</table>
</file>

<file path=xl/tables/table9.xml><?xml version="1.0" encoding="utf-8"?>
<table xmlns="http://schemas.openxmlformats.org/spreadsheetml/2006/main" id="11" name="insertion5" displayName="insertion5" ref="A28:C38" headerRowDxfId="215" dataDxfId="214" totalsRowDxfId="213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11" totalsRowDxfId="212"/>
    <tableColumn id="2" name="trocas" totalsRowFunction="average" dataDxfId="209" totalsRowDxfId="210"/>
    <tableColumn id="3" name="tempo (ms)" totalsRowFunction="average" dataDxfId="207" totalsRowDxfId="208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id="12" name="merge5" displayName="merge5" ref="A2:C12" headerRowDxfId="206" dataDxfId="205">
  <autoFilter ref="A2:C12">
    <filterColumn colId="0" hiddenButton="1"/>
    <filterColumn colId="1" hiddenButton="1"/>
    <filterColumn colId="2" hiddenButton="1"/>
  </autoFilter>
  <tableColumns count="3">
    <tableColumn id="1" name="comparações" dataDxfId="204"/>
    <tableColumn id="2" name="trocas" dataDxfId="203"/>
    <tableColumn id="3" name="tempo (ms)" dataDxfId="202"/>
  </tableColumns>
  <tableStyleInfo name="TableStyleMedium5" showFirstColumn="0" showLastColumn="0" showRowStripes="1" showColumnStripes="0"/>
</table>
</file>

<file path=xl/tables/table11.xml><?xml version="1.0" encoding="utf-8"?>
<table xmlns="http://schemas.openxmlformats.org/spreadsheetml/2006/main" id="13" name="quick5" displayName="quick5" ref="A15:C25" headerRowDxfId="201" dataDxfId="200" totalsRowDxfId="199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97" totalsRowDxfId="198"/>
    <tableColumn id="2" name="trocas" totalsRowFunction="average" dataDxfId="195" totalsRowDxfId="196"/>
    <tableColumn id="3" name="tempo (ms)" totalsRowFunction="average" dataDxfId="193" totalsRowDxfId="194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id="14" name="selection5" displayName="selection5" ref="A28:C38" headerRowDxfId="192" dataDxfId="191" totalsRowDxfId="190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88" totalsRowDxfId="189"/>
    <tableColumn id="2" name="trocas" totalsRowFunction="average" dataDxfId="186" totalsRowDxfId="187"/>
    <tableColumn id="3" name="tempo (ms)" totalsRowFunction="average" dataDxfId="184" totalsRowDxfId="185"/>
  </tableColumns>
  <tableStyleInfo name="TableStyleMedium5" showFirstColumn="0" showLastColumn="0" showRowStripes="1" showColumnStripes="0"/>
</table>
</file>

<file path=xl/tables/table13.xml><?xml version="1.0" encoding="utf-8"?>
<table xmlns="http://schemas.openxmlformats.org/spreadsheetml/2006/main" id="18" name="bubble10_" displayName="bubble10_" ref="A2:C12" headerRowDxfId="160" dataDxfId="159">
  <autoFilter ref="A2:C12">
    <filterColumn colId="0" hiddenButton="1"/>
    <filterColumn colId="1" hiddenButton="1"/>
    <filterColumn colId="2" hiddenButton="1"/>
  </autoFilter>
  <tableColumns count="3">
    <tableColumn id="1" name="comparações" dataDxfId="158"/>
    <tableColumn id="2" name="trocas" dataDxfId="157"/>
    <tableColumn id="3" name="tempo (ms)" dataDxfId="156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id="19" name="heap10" displayName="heap10" ref="A15:C25" headerRowDxfId="155" dataDxfId="154" totalsRowDxfId="153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51" totalsRowDxfId="152"/>
    <tableColumn id="2" name="trocas" totalsRowFunction="average" dataDxfId="149" totalsRowDxfId="150"/>
    <tableColumn id="3" name="tempo (ms)" totalsRowFunction="average" dataDxfId="147" totalsRowDxfId="148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id="20" name="insertion10" displayName="insertion10" ref="A28:C38" headerRowDxfId="146" dataDxfId="145" totalsRowDxfId="144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42" totalsRowDxfId="143"/>
    <tableColumn id="2" name="trocas" totalsRowFunction="average" dataDxfId="140" totalsRowDxfId="141"/>
    <tableColumn id="3" name="tempo (ms)" totalsRowFunction="average" dataDxfId="138" totalsRowDxfId="139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id="15" name="merge10" displayName="merge10" ref="A2:C12" headerRowDxfId="183" dataDxfId="182">
  <autoFilter ref="A2:C12">
    <filterColumn colId="0" hiddenButton="1"/>
    <filterColumn colId="1" hiddenButton="1"/>
    <filterColumn colId="2" hiddenButton="1"/>
  </autoFilter>
  <tableColumns count="3">
    <tableColumn id="1" name="comparações" dataDxfId="181"/>
    <tableColumn id="2" name="trocas" dataDxfId="180"/>
    <tableColumn id="3" name="tempo (ms)" dataDxfId="179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16" name="quick10" displayName="quick10" ref="A15:C25" headerRowDxfId="178" dataDxfId="177" totalsRowDxfId="176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74" totalsRowDxfId="175"/>
    <tableColumn id="2" name="trocas" totalsRowFunction="average" dataDxfId="172" totalsRowDxfId="173"/>
    <tableColumn id="3" name="tempo (ms)" totalsRowFunction="average" dataDxfId="170" totalsRowDxfId="171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id="17" name="selection10" displayName="selection10" ref="A28:C38" headerRowDxfId="169" dataDxfId="168" totalsRowDxfId="167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65" totalsRowDxfId="166"/>
    <tableColumn id="2" name="trocas" totalsRowFunction="average" dataDxfId="163" totalsRowDxfId="164"/>
    <tableColumn id="3" name="tempo (ms)" totalsRowFunction="average" dataDxfId="161" totalsRowDxfId="162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id="21" name="bubble20_" displayName="bubble20_" ref="A2:C12" headerRowDxfId="137" dataDxfId="136">
  <autoFilter ref="A2:C12">
    <filterColumn colId="0" hiddenButton="1"/>
    <filterColumn colId="1" hiddenButton="1"/>
    <filterColumn colId="2" hiddenButton="1"/>
  </autoFilter>
  <tableColumns count="3">
    <tableColumn id="1" name="comparações" dataDxfId="135"/>
    <tableColumn id="2" name="trocas" dataDxfId="134"/>
    <tableColumn id="3" name="tempo (ms)" dataDxfId="13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heap20" displayName="heap20" ref="A15:C25" headerRowDxfId="132" dataDxfId="131" totalsRowDxfId="130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28" totalsRowDxfId="129"/>
    <tableColumn id="2" name="trocas" totalsRowFunction="average" dataDxfId="126" totalsRowDxfId="127"/>
    <tableColumn id="3" name="tempo (ms)" totalsRowFunction="average" dataDxfId="124" totalsRowDxfId="12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insertion20" displayName="insertion20" ref="A28:C38" headerRowDxfId="123" dataDxfId="122" totalsRowDxfId="121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19" totalsRowDxfId="120"/>
    <tableColumn id="2" name="trocas" totalsRowFunction="average" dataDxfId="117" totalsRowDxfId="118"/>
    <tableColumn id="3" name="tempo (ms)" totalsRowFunction="average" dataDxfId="115" totalsRowDxfId="1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merge20" displayName="merge20" ref="A2:C12" headerRowDxfId="114" dataDxfId="113">
  <autoFilter ref="A2:C12">
    <filterColumn colId="0" hiddenButton="1"/>
    <filterColumn colId="1" hiddenButton="1"/>
    <filterColumn colId="2" hiddenButton="1"/>
  </autoFilter>
  <tableColumns count="3">
    <tableColumn id="1" name="comparações" dataDxfId="112"/>
    <tableColumn id="2" name="trocas" dataDxfId="111"/>
    <tableColumn id="3" name="tempo (ms)" dataDxfId="11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5" name="quick20" displayName="quick20" ref="A15:C25" headerRowDxfId="109" dataDxfId="108" totalsRowDxfId="107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05" totalsRowDxfId="106"/>
    <tableColumn id="2" name="trocas" totalsRowFunction="average" dataDxfId="103" totalsRowDxfId="104"/>
    <tableColumn id="3" name="tempo (ms)" totalsRowFunction="average" dataDxfId="101" totalsRowDxfId="10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6" name="selection20" displayName="selection20" ref="A28:C38" headerRowDxfId="100" dataDxfId="99" totalsRowDxfId="98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96" totalsRowDxfId="97"/>
    <tableColumn id="2" name="trocas" totalsRowFunction="average" dataDxfId="94" totalsRowDxfId="95"/>
    <tableColumn id="3" name="tempo (ms)" totalsRowFunction="average" dataDxfId="92" totalsRowDxfId="9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7" name="bubble50_" displayName="bubble50_" ref="A2:C12" headerRowDxfId="91" dataDxfId="90">
  <autoFilter ref="A2:C12">
    <filterColumn colId="0" hiddenButton="1"/>
    <filterColumn colId="1" hiddenButton="1"/>
    <filterColumn colId="2" hiddenButton="1"/>
  </autoFilter>
  <tableColumns count="3">
    <tableColumn id="1" name="comparações" dataDxfId="89"/>
    <tableColumn id="2" name="trocas" dataDxfId="88"/>
    <tableColumn id="3" name="tempo (ms)" dataDxfId="8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8" name="heap50" displayName="heap50" ref="A15:C25" headerRowDxfId="86" dataDxfId="85" totalsRowDxfId="84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82" totalsRowDxfId="83"/>
    <tableColumn id="2" name="trocas" totalsRowFunction="average" dataDxfId="80" totalsRowDxfId="81"/>
    <tableColumn id="3" name="tempo (ms)" totalsRowFunction="average" dataDxfId="78" totalsRowDxfId="7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9" name="insertion50" displayName="insertion50" ref="A28:C38" headerRowDxfId="77" dataDxfId="76" totalsRowDxfId="75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73" totalsRowDxfId="74"/>
    <tableColumn id="2" name="trocas" totalsRowFunction="average" dataDxfId="71" totalsRowDxfId="72"/>
    <tableColumn id="3" name="tempo (ms)" totalsRowFunction="average" dataDxfId="69" totalsRowDxfId="7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0" name="merge50" displayName="merge50" ref="A2:C12" headerRowDxfId="68" dataDxfId="67">
  <autoFilter ref="A2:C12">
    <filterColumn colId="0" hiddenButton="1"/>
    <filterColumn colId="1" hiddenButton="1"/>
    <filterColumn colId="2" hiddenButton="1"/>
  </autoFilter>
  <tableColumns count="3">
    <tableColumn id="1" name="comparações" dataDxfId="66"/>
    <tableColumn id="2" name="trocas" dataDxfId="65"/>
    <tableColumn id="3" name="tempo (ms)" dataDxfId="6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1" name="quick50" displayName="quick50" ref="A15:C25" headerRowDxfId="63" dataDxfId="62" totalsRowDxfId="61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59" totalsRowDxfId="60"/>
    <tableColumn id="2" name="trocas" totalsRowFunction="average" dataDxfId="57" totalsRowDxfId="58"/>
    <tableColumn id="3" name="tempo (ms)" totalsRowFunction="average" dataDxfId="55" totalsRowDxfId="5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2" name="selection50" displayName="selection50" ref="A28:C38" headerRowDxfId="54" dataDxfId="53" totalsRowDxfId="52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50" totalsRowDxfId="51"/>
    <tableColumn id="2" name="trocas" totalsRowFunction="average" dataDxfId="48" totalsRowDxfId="49"/>
    <tableColumn id="3" name="tempo (ms)" totalsRowFunction="average" dataDxfId="46" totalsRowDxfId="4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3" name="bubble100_" displayName="bubble100_" ref="A2:C12" headerRowDxfId="45" dataDxfId="44">
  <autoFilter ref="A2:C12">
    <filterColumn colId="0" hiddenButton="1"/>
    <filterColumn colId="1" hiddenButton="1"/>
    <filterColumn colId="2" hiddenButton="1"/>
  </autoFilter>
  <tableColumns count="3">
    <tableColumn id="1" name="comparações" dataDxfId="43"/>
    <tableColumn id="2" name="trocas" dataDxfId="42"/>
    <tableColumn id="3" name="tempo (ms)" dataDxfId="4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4" name="heap100" displayName="heap100" ref="A15:C25" headerRowDxfId="40" dataDxfId="39" totalsRowDxfId="38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36" totalsRowDxfId="37"/>
    <tableColumn id="2" name="trocas" totalsRowFunction="average" dataDxfId="34" totalsRowDxfId="35"/>
    <tableColumn id="3" name="tempo (ms)" totalsRowFunction="average" dataDxfId="32" totalsRowDxfId="33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5" name="insertion100" displayName="insertion100" ref="A28:C38" headerRowDxfId="31" dataDxfId="30" totalsRowDxfId="29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7" totalsRowDxfId="28"/>
    <tableColumn id="2" name="trocas" totalsRowFunction="average" dataDxfId="25" totalsRowDxfId="26"/>
    <tableColumn id="3" name="tempo (ms)" totalsRowFunction="average" dataDxfId="23" totalsRowDxfId="24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6" name="merge100" displayName="merge100" ref="A2:C12" headerRowDxfId="22" dataDxfId="21">
  <autoFilter ref="A2:C12">
    <filterColumn colId="0" hiddenButton="1"/>
    <filterColumn colId="1" hiddenButton="1"/>
    <filterColumn colId="2" hiddenButton="1"/>
  </autoFilter>
  <tableColumns count="3">
    <tableColumn id="1" name="comparações" dataDxfId="20"/>
    <tableColumn id="2" name="trocas" dataDxfId="19"/>
    <tableColumn id="3" name="tempo (ms)" dataDxfId="1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7" name="quick100" displayName="quick100" ref="A15:C25" headerRowDxfId="17" dataDxfId="16" totalsRowDxfId="15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3" totalsRowDxfId="14"/>
    <tableColumn id="2" name="trocas" totalsRowFunction="average" dataDxfId="11" totalsRowDxfId="12"/>
    <tableColumn id="3" name="tempo (ms)" totalsRowFunction="average" dataDxfId="9" totalsRowDxfId="1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8" name="selection100" displayName="selection100" ref="A28:C38" headerRowDxfId="8" dataDxfId="7" totalsRowDxfId="6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4" totalsRowDxfId="5"/>
    <tableColumn id="2" name="trocas" totalsRowFunction="average" dataDxfId="2" totalsRowDxfId="3"/>
    <tableColumn id="3" name="tempo (ms)" totalsRowFunction="average" dataDxfId="0" totalsRow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3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7030A0"/>
  </sheetPr>
  <dimension ref="B1:I21"/>
  <sheetViews>
    <sheetView tabSelected="1" zoomScale="115" zoomScaleNormal="115" workbookViewId="0">
      <selection activeCell="J13" sqref="J13"/>
    </sheetView>
  </sheetViews>
  <sheetFormatPr defaultRowHeight="15" x14ac:dyDescent="0.25"/>
  <cols>
    <col min="1" max="1" width="11" customWidth="1"/>
    <col min="2" max="2" width="15.140625" customWidth="1"/>
    <col min="3" max="3" width="10.5703125" customWidth="1"/>
    <col min="4" max="6" width="14.85546875" customWidth="1"/>
    <col min="7" max="7" width="15.5703125" customWidth="1"/>
    <col min="8" max="8" width="14.7109375" customWidth="1"/>
    <col min="9" max="9" width="14.85546875" customWidth="1"/>
  </cols>
  <sheetData>
    <row r="1" spans="2:9" ht="15.75" thickBot="1" x14ac:dyDescent="0.3">
      <c r="D1" s="21"/>
      <c r="E1" s="21"/>
      <c r="F1" s="21"/>
      <c r="G1" s="21"/>
      <c r="H1" s="21"/>
      <c r="I1" s="21"/>
    </row>
    <row r="2" spans="2:9" ht="15.75" customHeight="1" thickBot="1" x14ac:dyDescent="0.3">
      <c r="C2" s="22"/>
      <c r="D2" s="20" t="s">
        <v>14</v>
      </c>
      <c r="E2" s="20"/>
      <c r="F2" s="20"/>
      <c r="G2" s="20"/>
      <c r="H2" s="20"/>
      <c r="I2" s="24"/>
    </row>
    <row r="3" spans="2:9" ht="15.75" thickBot="1" x14ac:dyDescent="0.3">
      <c r="B3" s="18" t="s">
        <v>13</v>
      </c>
      <c r="C3" s="19" t="s">
        <v>0</v>
      </c>
      <c r="D3" s="12" t="s">
        <v>7</v>
      </c>
      <c r="E3" s="11" t="s">
        <v>8</v>
      </c>
      <c r="F3" s="11" t="s">
        <v>9</v>
      </c>
      <c r="G3" s="11" t="s">
        <v>10</v>
      </c>
      <c r="H3" s="11" t="s">
        <v>11</v>
      </c>
      <c r="I3" s="23" t="s">
        <v>12</v>
      </c>
    </row>
    <row r="4" spans="2:9" x14ac:dyDescent="0.25">
      <c r="B4" s="13" t="s">
        <v>15</v>
      </c>
      <c r="C4" s="14" t="s">
        <v>1</v>
      </c>
      <c r="D4" s="25">
        <f>SUBTOTAL(101,bubble1_[comparações])</f>
        <v>217119.5</v>
      </c>
      <c r="E4" s="25">
        <f>SUBTOTAL(101,bubble5_[comparações])</f>
        <v>5643302.4000000004</v>
      </c>
      <c r="F4" s="25">
        <f>SUBTOTAL(101,bubble10_[comparações])</f>
        <v>22542997.399999999</v>
      </c>
      <c r="G4" s="25">
        <f>SUBTOTAL(101,bubble20_[comparações])</f>
        <v>90171139.099999994</v>
      </c>
      <c r="H4" s="25">
        <f>SUBTOTAL(101,bubble50_[comparações])</f>
        <v>561640393.39999998</v>
      </c>
      <c r="I4" s="26">
        <f>SUBTOTAL(101,bubble100_[comparações])</f>
        <v>2249324511.6999998</v>
      </c>
    </row>
    <row r="5" spans="2:9" x14ac:dyDescent="0.25">
      <c r="B5" s="15"/>
      <c r="C5" s="10" t="s">
        <v>2</v>
      </c>
      <c r="D5" s="27">
        <f>SUBTOTAL(101,selection1[comparações])</f>
        <v>1934.8</v>
      </c>
      <c r="E5" s="27">
        <f>SUBTOTAL(101,selection5[comparações])</f>
        <v>9567</v>
      </c>
      <c r="F5" s="27">
        <f>SUBTOTAL(101,selection10[comparações])</f>
        <v>19382</v>
      </c>
      <c r="G5" s="27">
        <f>SUBTOTAL(101,selection20[comparações])</f>
        <v>38592.300000000003</v>
      </c>
      <c r="H5" s="27">
        <f>SUBTOTAL(101,selection50[comparações])</f>
        <v>96472.5</v>
      </c>
      <c r="I5" s="28">
        <f>SUBTOTAL(101,selection100[comparações])</f>
        <v>192833.9</v>
      </c>
    </row>
    <row r="6" spans="2:9" x14ac:dyDescent="0.25">
      <c r="B6" s="15"/>
      <c r="C6" s="10" t="s">
        <v>3</v>
      </c>
      <c r="D6" s="27">
        <f>SUBTOTAL(101,insertion1[comparações])</f>
        <v>220236.79999999999</v>
      </c>
      <c r="E6" s="27">
        <f>SUBTOTAL(101,insertion5[comparações])</f>
        <v>5599468.7999999998</v>
      </c>
      <c r="F6" s="27">
        <f>SUBTOTAL(101,insertion10[comparações])</f>
        <v>22490222.5</v>
      </c>
      <c r="G6" s="27">
        <f>SUBTOTAL(101,insertion20[comparações])</f>
        <v>90025660.200000003</v>
      </c>
      <c r="H6" s="27">
        <f>SUBTOTAL(101,insertion50[comparações])</f>
        <v>561655771.89999998</v>
      </c>
      <c r="I6" s="28">
        <f>SUBTOTAL(101,insertion100[comparações])</f>
        <v>2251491017.6999998</v>
      </c>
    </row>
    <row r="7" spans="2:9" x14ac:dyDescent="0.25">
      <c r="B7" s="15"/>
      <c r="C7" s="10" t="s">
        <v>4</v>
      </c>
      <c r="D7" s="27">
        <f>SUBTOTAL(101,heap1[comparações])</f>
        <v>10025.6</v>
      </c>
      <c r="E7" s="27">
        <f>SUBTOTAL(101,heap5[comparações])</f>
        <v>64580.6</v>
      </c>
      <c r="F7" s="27">
        <f>SUBTOTAL(101,heap10[comparações])</f>
        <v>142255</v>
      </c>
      <c r="G7" s="27">
        <f>SUBTOTAL(101,heap20[comparações])</f>
        <v>309796.2</v>
      </c>
      <c r="H7" s="27">
        <f>SUBTOTAL(101,heap50[comparações])</f>
        <v>856878</v>
      </c>
      <c r="I7" s="28">
        <f>SUBTOTAL(101,heap100[comparações])</f>
        <v>1841105.9</v>
      </c>
    </row>
    <row r="8" spans="2:9" x14ac:dyDescent="0.25">
      <c r="B8" s="15"/>
      <c r="C8" s="10" t="s">
        <v>5</v>
      </c>
      <c r="D8" s="27">
        <f>SUBTOTAL(101,merge1[comparações])</f>
        <v>8503.5</v>
      </c>
      <c r="E8" s="27">
        <f>SUBTOTAL(101,merge5[comparações])</f>
        <v>53553.1</v>
      </c>
      <c r="F8" s="27">
        <f>SUBTOTAL(101,merge10[comparações])</f>
        <v>116473.5</v>
      </c>
      <c r="G8" s="27">
        <f>SUBTOTAL(101,merge20[comparações])</f>
        <v>252198.5</v>
      </c>
      <c r="H8" s="27">
        <f>SUBTOTAL(101,merge50[comparações])</f>
        <v>692427.4</v>
      </c>
      <c r="I8" s="28">
        <f>SUBTOTAL(101,merge100[comparações])</f>
        <v>1479957.7</v>
      </c>
    </row>
    <row r="9" spans="2:9" ht="15.75" thickBot="1" x14ac:dyDescent="0.3">
      <c r="B9" s="16"/>
      <c r="C9" s="17" t="s">
        <v>6</v>
      </c>
      <c r="D9" s="29">
        <f>SUBTOTAL(101,quick1[comparações])</f>
        <v>2944.8</v>
      </c>
      <c r="E9" s="27">
        <f>SUBTOTAL(101,quick5[comparações])</f>
        <v>12549.7</v>
      </c>
      <c r="F9" s="27">
        <f>SUBTOTAL(101,quick10[comparações])</f>
        <v>28452.799999999999</v>
      </c>
      <c r="G9" s="27">
        <f>SUBTOTAL(101,quick20[comparações])</f>
        <v>51680.7</v>
      </c>
      <c r="H9" s="27">
        <f>SUBTOTAL(101,quick50[comparações])</f>
        <v>156496.29999999999</v>
      </c>
      <c r="I9" s="28">
        <f>SUBTOTAL(101,quick100[comparações])</f>
        <v>251642.2</v>
      </c>
    </row>
    <row r="10" spans="2:9" x14ac:dyDescent="0.25">
      <c r="B10" s="13" t="s">
        <v>16</v>
      </c>
      <c r="C10" s="14" t="s">
        <v>1</v>
      </c>
      <c r="D10" s="25">
        <f>SUBTOTAL(101,bubble1_[trocas])</f>
        <v>217119.5</v>
      </c>
      <c r="E10" s="25">
        <f>SUBTOTAL(101,bubble5_[trocas])</f>
        <v>5643302.4000000004</v>
      </c>
      <c r="F10" s="25">
        <f>SUBTOTAL(101,bubble10_[trocas])</f>
        <v>22542997.399999999</v>
      </c>
      <c r="G10" s="25">
        <f>SUBTOTAL(101,bubble20_[trocas])</f>
        <v>90171139.099999994</v>
      </c>
      <c r="H10" s="25">
        <f>SUBTOTAL(101,bubble50_[trocas])</f>
        <v>561640393.39999998</v>
      </c>
      <c r="I10" s="26">
        <f>SUBTOTAL(101,bubble100_[trocas])</f>
        <v>2249324511.6999998</v>
      </c>
    </row>
    <row r="11" spans="2:9" x14ac:dyDescent="0.25">
      <c r="B11" s="15"/>
      <c r="C11" s="10" t="s">
        <v>2</v>
      </c>
      <c r="D11" s="27">
        <f>SUBTOTAL(101,selection1[trocas])</f>
        <v>891.6</v>
      </c>
      <c r="E11" s="27">
        <f>SUBTOTAL(101,selection5[trocas])</f>
        <v>4513</v>
      </c>
      <c r="F11" s="27">
        <f>SUBTOTAL(101,selection10[trocas])</f>
        <v>9023.5</v>
      </c>
      <c r="G11" s="27">
        <f>SUBTOTAL(101,selection20[trocas])</f>
        <v>17978.400000000001</v>
      </c>
      <c r="H11" s="27">
        <f>SUBTOTAL(101,selection50[trocas])</f>
        <v>45021.8</v>
      </c>
      <c r="I11" s="30">
        <f>SUBTOTAL(101,selection100[trocas])</f>
        <v>89999</v>
      </c>
    </row>
    <row r="12" spans="2:9" x14ac:dyDescent="0.25">
      <c r="B12" s="15"/>
      <c r="C12" s="10" t="s">
        <v>3</v>
      </c>
      <c r="D12" s="27">
        <f>SUBTOTAL(101,insertion1[trocas])</f>
        <v>220236.79999999999</v>
      </c>
      <c r="E12" s="27">
        <f>SUBTOTAL(101,insertion5[trocas])</f>
        <v>5599468.7999999998</v>
      </c>
      <c r="F12" s="27">
        <f>SUBTOTAL(101,insertion100[trocas])</f>
        <v>2251491017.6999998</v>
      </c>
      <c r="G12" s="27">
        <f>SUBTOTAL(101,insertion20[trocas])</f>
        <v>90025660.200000003</v>
      </c>
      <c r="H12" s="27">
        <f>SUBTOTAL(101,insertion50[trocas])</f>
        <v>561655771.89999998</v>
      </c>
      <c r="I12" s="30">
        <f>SUBTOTAL(101,insertion100[trocas])</f>
        <v>2251491017.6999998</v>
      </c>
    </row>
    <row r="13" spans="2:9" x14ac:dyDescent="0.25">
      <c r="B13" s="15"/>
      <c r="C13" s="10" t="s">
        <v>4</v>
      </c>
      <c r="D13" s="27">
        <f>SUBTOTAL(101,heap1[trocas])</f>
        <v>8294.5</v>
      </c>
      <c r="E13" s="27">
        <f>SUBTOTAL(101,heap5[trocas])</f>
        <v>51817</v>
      </c>
      <c r="F13" s="27">
        <f>SUBTOTAL(101,heap10[trocas])</f>
        <v>112662</v>
      </c>
      <c r="G13" s="27">
        <f>SUBTOTAL(101,heap20[trocas])</f>
        <v>243278.6</v>
      </c>
      <c r="H13" s="27">
        <f>SUBTOTAL(101,heap50[trocas])</f>
        <v>665041</v>
      </c>
      <c r="I13" s="30">
        <f>SUBTOTAL(101,heap100[trocas])</f>
        <v>1419096.2</v>
      </c>
    </row>
    <row r="14" spans="2:9" x14ac:dyDescent="0.25">
      <c r="B14" s="15"/>
      <c r="C14" s="10" t="s">
        <v>5</v>
      </c>
      <c r="D14" s="27">
        <f>SUBTOTAL(101,merge1[trocas])</f>
        <v>8503.5</v>
      </c>
      <c r="E14" s="27">
        <f>SUBTOTAL(101,merge5[trocas])</f>
        <v>53553.1</v>
      </c>
      <c r="F14" s="27">
        <f>SUBTOTAL(101,merge10[trocas])</f>
        <v>116473.5</v>
      </c>
      <c r="G14" s="27">
        <f>SUBTOTAL(101,merge20[trocas])</f>
        <v>252198.5</v>
      </c>
      <c r="H14" s="27">
        <f>SUBTOTAL(101,merge50[trocas])</f>
        <v>692427.4</v>
      </c>
      <c r="I14" s="30">
        <f>SUBTOTAL(101,merge100[trocas])</f>
        <v>1479957.7</v>
      </c>
    </row>
    <row r="15" spans="2:9" ht="15.75" thickBot="1" x14ac:dyDescent="0.3">
      <c r="B15" s="16"/>
      <c r="C15" s="17" t="s">
        <v>6</v>
      </c>
      <c r="D15" s="27">
        <f>SUBTOTAL(101,quick1[trocas])</f>
        <v>3826.4</v>
      </c>
      <c r="E15" s="27">
        <f>SUBTOTAL(101,quick5[trocas])</f>
        <v>24955.3</v>
      </c>
      <c r="F15" s="27">
        <f>SUBTOTAL(101,quick10[trocas])</f>
        <v>54714.3</v>
      </c>
      <c r="G15" s="27">
        <f>SUBTOTAL(101,quick20[trocas])</f>
        <v>119600.2</v>
      </c>
      <c r="H15" s="27">
        <f>SUBTOTAL(101,quick50[trocas])</f>
        <v>330773.5</v>
      </c>
      <c r="I15" s="30">
        <f>SUBTOTAL(101,quick100[trocas])</f>
        <v>712750.4</v>
      </c>
    </row>
    <row r="16" spans="2:9" x14ac:dyDescent="0.25">
      <c r="B16" s="13" t="s">
        <v>26</v>
      </c>
      <c r="C16" s="14" t="s">
        <v>1</v>
      </c>
      <c r="D16" s="25">
        <f>SUBTOTAL(101,bubble1_[tempo (ms)])</f>
        <v>4.6757</v>
      </c>
      <c r="E16" s="25">
        <f>SUBTOTAL(101,bubble5_[tempo (ms)])</f>
        <v>121.74323999999999</v>
      </c>
      <c r="F16" s="25">
        <f>SUBTOTAL(101,bubble10_[tempo (ms)])</f>
        <v>489.18585000000002</v>
      </c>
      <c r="G16" s="25">
        <f>SUBTOTAL(101,bubble20_[tempo (ms)])</f>
        <v>1869.3245099999997</v>
      </c>
      <c r="H16" s="25">
        <f>SUBTOTAL(101,bubble50_[tempo (ms)])</f>
        <v>11710.047569999999</v>
      </c>
      <c r="I16" s="26">
        <f>SUBTOTAL(101,bubble100_[tempo (ms)])</f>
        <v>46621.516409999997</v>
      </c>
    </row>
    <row r="17" spans="2:9" x14ac:dyDescent="0.25">
      <c r="B17" s="15"/>
      <c r="C17" s="10" t="s">
        <v>2</v>
      </c>
      <c r="D17" s="27">
        <f>SUBTOTAL(101,selection1[tempo (ms)])</f>
        <v>1.22496</v>
      </c>
      <c r="E17" s="27">
        <f>SUBTOTAL(101,selection5[tempo (ms)])</f>
        <v>29.090519999999991</v>
      </c>
      <c r="F17" s="27">
        <f>SUBTOTAL(101,selection10[tempo (ms)])</f>
        <v>116.29857999999999</v>
      </c>
      <c r="G17" s="27">
        <f>SUBTOTAL(101,selection20[tempo (ms)])</f>
        <v>430.28166999999996</v>
      </c>
      <c r="H17" s="27">
        <f>SUBTOTAL(101,selection50[comparações])</f>
        <v>96472.5</v>
      </c>
      <c r="I17" s="30">
        <f>SUBTOTAL(101,selection100[trocas])</f>
        <v>89999</v>
      </c>
    </row>
    <row r="18" spans="2:9" x14ac:dyDescent="0.25">
      <c r="B18" s="15"/>
      <c r="C18" s="10" t="s">
        <v>3</v>
      </c>
      <c r="D18" s="27">
        <f>SUBTOTAL(101,insertion1[tempo (ms)])</f>
        <v>2.2249699999999999</v>
      </c>
      <c r="E18" s="27">
        <f>SUBTOTAL(101,insertion5[tempo (ms)])</f>
        <v>56.5687</v>
      </c>
      <c r="F18" s="27">
        <f>SUBTOTAL(101,insertion10[tempo (ms)])</f>
        <v>221.58328999999998</v>
      </c>
      <c r="G18" s="27">
        <f>SUBTOTAL(101,insertion20[comparações])</f>
        <v>90025660.200000003</v>
      </c>
      <c r="H18" s="27">
        <f>SUBTOTAL(101,insertion50[trocas])</f>
        <v>561655771.89999998</v>
      </c>
      <c r="I18" s="30">
        <f>SUBTOTAL(101,insertion100[tempo (ms)])</f>
        <v>20429.910169999996</v>
      </c>
    </row>
    <row r="19" spans="2:9" x14ac:dyDescent="0.25">
      <c r="B19" s="15"/>
      <c r="C19" s="10" t="s">
        <v>4</v>
      </c>
      <c r="D19" s="27">
        <f>SUBTOTAL(101,heap1[tempo (ms)])</f>
        <v>0.23719999999999999</v>
      </c>
      <c r="E19" s="27">
        <f>SUBTOTAL(101,heap5[tempo (ms)])</f>
        <v>1.3660000000000001</v>
      </c>
      <c r="F19" s="27">
        <f>SUBTOTAL(101,heap10[tempo (ms)])</f>
        <v>3.1580599999999999</v>
      </c>
      <c r="G19" s="27">
        <f>SUBTOTAL(101,heap20[comparações])</f>
        <v>309796.2</v>
      </c>
      <c r="H19" s="27">
        <f>SUBTOTAL(101,heap50[trocas])</f>
        <v>665041</v>
      </c>
      <c r="I19" s="30">
        <f>SUBTOTAL(101,heap100[tempo (ms)])</f>
        <v>36.873100000000001</v>
      </c>
    </row>
    <row r="20" spans="2:9" x14ac:dyDescent="0.25">
      <c r="B20" s="15"/>
      <c r="C20" s="10" t="s">
        <v>5</v>
      </c>
      <c r="D20" s="27">
        <f>SUBTOTAL(101,merge1[tempo (ms)])</f>
        <v>0.17358000000000001</v>
      </c>
      <c r="E20" s="27">
        <f>SUBTOTAL(101,merge5[tempo (ms)])</f>
        <v>1.0823800000000001</v>
      </c>
      <c r="F20" s="27">
        <f>SUBTOTAL(101,merge10[tempo (ms)])</f>
        <v>2.3306800000000001</v>
      </c>
      <c r="G20" s="27">
        <f>SUBTOTAL(101,merge20[comparações])</f>
        <v>252198.5</v>
      </c>
      <c r="H20" s="27">
        <f>SUBTOTAL(101,merge50[trocas])</f>
        <v>692427.4</v>
      </c>
      <c r="I20" s="30">
        <f>SUBTOTAL(101,merge100[tempo (ms)])</f>
        <v>25.664929999999998</v>
      </c>
    </row>
    <row r="21" spans="2:9" ht="15.75" thickBot="1" x14ac:dyDescent="0.3">
      <c r="B21" s="16"/>
      <c r="C21" s="17" t="s">
        <v>6</v>
      </c>
      <c r="D21" s="29">
        <f>SUBTOTAL(101,quick1[tempo (ms)])</f>
        <v>9.4659999999999994E-2</v>
      </c>
      <c r="E21" s="29">
        <f>SUBTOTAL(101,quick5[tempo (ms)])</f>
        <v>0.51195000000000013</v>
      </c>
      <c r="F21" s="29">
        <f>SUBTOTAL(101,quick10[tempo (ms)])</f>
        <v>1.1559699999999999</v>
      </c>
      <c r="G21" s="29">
        <f>SUBTOTAL(101,quick20[comparações])</f>
        <v>51680.7</v>
      </c>
      <c r="H21" s="29">
        <f>SUBTOTAL(101,quick50[trocas])</f>
        <v>330773.5</v>
      </c>
      <c r="I21" s="31">
        <f>SUBTOTAL(101,quick100[tempo (ms)])</f>
        <v>12.92699</v>
      </c>
    </row>
  </sheetData>
  <mergeCells count="4">
    <mergeCell ref="B4:B9"/>
    <mergeCell ref="B10:B15"/>
    <mergeCell ref="B16:B21"/>
    <mergeCell ref="D2:I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</sheetPr>
  <dimension ref="A1:F38"/>
  <sheetViews>
    <sheetView zoomScaleNormal="100" workbookViewId="0">
      <selection activeCell="E2" sqref="E2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2" t="s">
        <v>17</v>
      </c>
      <c r="B1" s="2"/>
      <c r="C1" s="2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SUBTOTAL(101,bubble1_[comparações])</f>
        <v>217119.5</v>
      </c>
      <c r="E2" s="6">
        <f>SUBTOTAL(101,bubble1_[trocas])</f>
        <v>217119.5</v>
      </c>
      <c r="F2" s="6">
        <f>SUBTOTAL(101,bubble1_[tempo (ms)])</f>
        <v>4.6757</v>
      </c>
    </row>
    <row r="3" spans="1:6" x14ac:dyDescent="0.25">
      <c r="A3" s="3">
        <v>216528</v>
      </c>
      <c r="B3" s="3">
        <v>216528</v>
      </c>
      <c r="C3" s="4">
        <v>4.4339000000000004</v>
      </c>
      <c r="D3" s="5"/>
      <c r="E3" s="5"/>
      <c r="F3" s="5"/>
    </row>
    <row r="4" spans="1:6" x14ac:dyDescent="0.25">
      <c r="A4" s="3">
        <v>216528</v>
      </c>
      <c r="B4" s="3">
        <v>216528</v>
      </c>
      <c r="C4" s="4">
        <v>4.4119000000000002</v>
      </c>
      <c r="D4" s="5"/>
      <c r="E4" s="5"/>
      <c r="F4" s="5"/>
    </row>
    <row r="5" spans="1:6" x14ac:dyDescent="0.25">
      <c r="A5" s="3">
        <v>216528</v>
      </c>
      <c r="B5" s="3">
        <v>216528</v>
      </c>
      <c r="C5" s="4">
        <v>4.3560999999999996</v>
      </c>
      <c r="D5" s="5"/>
      <c r="E5" s="5"/>
      <c r="F5" s="5"/>
    </row>
    <row r="6" spans="1:6" x14ac:dyDescent="0.25">
      <c r="A6" s="3">
        <v>216528</v>
      </c>
      <c r="B6" s="3">
        <v>216528</v>
      </c>
      <c r="C6" s="4">
        <v>5.8501000000000003</v>
      </c>
      <c r="D6" s="5"/>
      <c r="E6" s="5"/>
      <c r="F6" s="5"/>
    </row>
    <row r="7" spans="1:6" x14ac:dyDescent="0.25">
      <c r="A7" s="3">
        <v>216528</v>
      </c>
      <c r="B7" s="3">
        <v>216528</v>
      </c>
      <c r="C7" s="4">
        <v>4.3849999999999998</v>
      </c>
      <c r="D7" s="5"/>
      <c r="E7" s="5"/>
      <c r="F7" s="5"/>
    </row>
    <row r="8" spans="1:6" x14ac:dyDescent="0.25">
      <c r="A8" s="3">
        <v>217711</v>
      </c>
      <c r="B8" s="3">
        <v>217711</v>
      </c>
      <c r="C8" s="4">
        <v>4.3689999999999998</v>
      </c>
      <c r="D8" s="5"/>
      <c r="E8" s="5"/>
      <c r="F8" s="5"/>
    </row>
    <row r="9" spans="1:6" x14ac:dyDescent="0.25">
      <c r="A9" s="3">
        <v>217711</v>
      </c>
      <c r="B9" s="3">
        <v>217711</v>
      </c>
      <c r="C9" s="4">
        <v>4.3361000000000001</v>
      </c>
      <c r="D9" s="5"/>
      <c r="E9" s="5"/>
      <c r="F9" s="5"/>
    </row>
    <row r="10" spans="1:6" x14ac:dyDescent="0.25">
      <c r="A10" s="3">
        <v>217711</v>
      </c>
      <c r="B10" s="3">
        <v>217711</v>
      </c>
      <c r="C10" s="4">
        <v>5.7750000000000004</v>
      </c>
      <c r="D10" s="5"/>
      <c r="E10" s="5"/>
      <c r="F10" s="5"/>
    </row>
    <row r="11" spans="1:6" x14ac:dyDescent="0.25">
      <c r="A11" s="3">
        <v>217711</v>
      </c>
      <c r="B11" s="3">
        <v>217711</v>
      </c>
      <c r="C11" s="4">
        <v>4.2739000000000003</v>
      </c>
      <c r="D11" s="5"/>
      <c r="E11" s="5"/>
      <c r="F11" s="5"/>
    </row>
    <row r="12" spans="1:6" x14ac:dyDescent="0.25">
      <c r="A12" s="3">
        <v>217711</v>
      </c>
      <c r="B12" s="3">
        <v>217711</v>
      </c>
      <c r="C12" s="4">
        <v>4.5659999999999998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2" t="s">
        <v>20</v>
      </c>
      <c r="B14" s="2"/>
      <c r="C14" s="2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SUBTOTAL(101,heap1[comparações])</f>
        <v>10025.6</v>
      </c>
      <c r="E15" s="6">
        <f>SUBTOTAL(101,heap1[trocas])</f>
        <v>8294.5</v>
      </c>
      <c r="F15" s="6">
        <f>SUBTOTAL(101,heap1[tempo (ms)])</f>
        <v>0.23719999999999999</v>
      </c>
    </row>
    <row r="16" spans="1:6" x14ac:dyDescent="0.25">
      <c r="A16" s="3">
        <v>9992</v>
      </c>
      <c r="B16" s="3">
        <v>8252</v>
      </c>
      <c r="C16" s="4">
        <v>0.21099999999999999</v>
      </c>
      <c r="D16" s="5"/>
      <c r="E16" s="5"/>
      <c r="F16" s="5"/>
    </row>
    <row r="17" spans="1:6" x14ac:dyDescent="0.25">
      <c r="A17" s="3">
        <v>10004</v>
      </c>
      <c r="B17" s="3">
        <v>8285</v>
      </c>
      <c r="C17" s="4">
        <v>0.25890000000000002</v>
      </c>
      <c r="D17" s="5"/>
      <c r="E17" s="5"/>
      <c r="F17" s="5"/>
    </row>
    <row r="18" spans="1:6" x14ac:dyDescent="0.25">
      <c r="A18" s="3">
        <v>10004</v>
      </c>
      <c r="B18" s="3">
        <v>8285</v>
      </c>
      <c r="C18" s="4">
        <v>0.26200000000000001</v>
      </c>
      <c r="D18" s="5"/>
      <c r="E18" s="5"/>
      <c r="F18" s="5"/>
    </row>
    <row r="19" spans="1:6" x14ac:dyDescent="0.25">
      <c r="A19" s="3">
        <v>10004</v>
      </c>
      <c r="B19" s="3">
        <v>8285</v>
      </c>
      <c r="C19" s="4">
        <v>0.22289999999999999</v>
      </c>
      <c r="D19" s="5"/>
      <c r="E19" s="5"/>
      <c r="F19" s="5"/>
    </row>
    <row r="20" spans="1:6" x14ac:dyDescent="0.25">
      <c r="A20" s="3">
        <v>10004</v>
      </c>
      <c r="B20" s="3">
        <v>8285</v>
      </c>
      <c r="C20" s="4">
        <v>0.22320000000000001</v>
      </c>
      <c r="D20" s="5"/>
      <c r="E20" s="5"/>
      <c r="F20" s="5"/>
    </row>
    <row r="21" spans="1:6" x14ac:dyDescent="0.25">
      <c r="A21" s="3">
        <v>10004</v>
      </c>
      <c r="B21" s="3">
        <v>8285</v>
      </c>
      <c r="C21" s="4">
        <v>0.2258</v>
      </c>
      <c r="D21" s="5"/>
      <c r="E21" s="5"/>
      <c r="F21" s="5"/>
    </row>
    <row r="22" spans="1:6" x14ac:dyDescent="0.25">
      <c r="A22" s="3">
        <v>10004</v>
      </c>
      <c r="B22" s="3">
        <v>8285</v>
      </c>
      <c r="C22" s="4">
        <v>0.23100000000000001</v>
      </c>
      <c r="D22" s="5"/>
      <c r="E22" s="5"/>
      <c r="F22" s="5"/>
    </row>
    <row r="23" spans="1:6" x14ac:dyDescent="0.25">
      <c r="A23" s="3">
        <v>10004</v>
      </c>
      <c r="B23" s="3">
        <v>8285</v>
      </c>
      <c r="C23" s="4">
        <v>0.2301</v>
      </c>
      <c r="D23" s="5"/>
      <c r="E23" s="5"/>
      <c r="F23" s="5"/>
    </row>
    <row r="24" spans="1:6" x14ac:dyDescent="0.25">
      <c r="A24" s="3">
        <v>10118</v>
      </c>
      <c r="B24" s="3">
        <v>8349</v>
      </c>
      <c r="C24" s="4">
        <v>0.28299999999999997</v>
      </c>
      <c r="D24" s="5"/>
      <c r="E24" s="5"/>
      <c r="F24" s="5"/>
    </row>
    <row r="25" spans="1:6" x14ac:dyDescent="0.25">
      <c r="A25" s="3">
        <v>10118</v>
      </c>
      <c r="B25" s="3">
        <v>8349</v>
      </c>
      <c r="C25" s="4">
        <v>0.22409999999999999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2" t="s">
        <v>21</v>
      </c>
      <c r="B27" s="2"/>
      <c r="C27" s="2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SUBTOTAL(101,insertion1[comparações])</f>
        <v>220236.79999999999</v>
      </c>
      <c r="E28" s="6">
        <f>SUBTOTAL(101,insertion1[trocas])</f>
        <v>220236.79999999999</v>
      </c>
      <c r="F28" s="6">
        <f>SUBTOTAL(101,insertion1[tempo (ms)])</f>
        <v>2.2249699999999999</v>
      </c>
    </row>
    <row r="29" spans="1:6" x14ac:dyDescent="0.25">
      <c r="A29" s="3">
        <v>226052</v>
      </c>
      <c r="B29" s="3">
        <v>226052</v>
      </c>
      <c r="C29" s="4">
        <v>2.0880999999999998</v>
      </c>
      <c r="D29" s="5"/>
      <c r="E29" s="5"/>
      <c r="F29" s="5"/>
    </row>
    <row r="30" spans="1:6" x14ac:dyDescent="0.25">
      <c r="A30" s="3">
        <v>226052</v>
      </c>
      <c r="B30" s="3">
        <v>226052</v>
      </c>
      <c r="C30" s="4">
        <v>2.0758999999999999</v>
      </c>
      <c r="D30" s="5"/>
      <c r="E30" s="5"/>
      <c r="F30" s="5"/>
    </row>
    <row r="31" spans="1:6" x14ac:dyDescent="0.25">
      <c r="A31" s="3">
        <v>218783</v>
      </c>
      <c r="B31" s="3">
        <v>218783</v>
      </c>
      <c r="C31" s="4">
        <v>2.8788999999999998</v>
      </c>
      <c r="D31" s="5"/>
      <c r="E31" s="5"/>
      <c r="F31" s="5"/>
    </row>
    <row r="32" spans="1:6" x14ac:dyDescent="0.25">
      <c r="A32" s="3">
        <v>218783</v>
      </c>
      <c r="B32" s="3">
        <v>218783</v>
      </c>
      <c r="C32" s="4">
        <v>2.2151000000000001</v>
      </c>
      <c r="D32" s="5"/>
      <c r="E32" s="5"/>
      <c r="F32" s="5"/>
    </row>
    <row r="33" spans="1:6" x14ac:dyDescent="0.25">
      <c r="A33" s="3">
        <v>218783</v>
      </c>
      <c r="B33" s="3">
        <v>218783</v>
      </c>
      <c r="C33" s="4">
        <v>2.0390000000000001</v>
      </c>
      <c r="D33" s="5"/>
      <c r="E33" s="5"/>
      <c r="F33" s="5"/>
    </row>
    <row r="34" spans="1:6" x14ac:dyDescent="0.25">
      <c r="A34" s="3">
        <v>218783</v>
      </c>
      <c r="B34" s="3">
        <v>218783</v>
      </c>
      <c r="C34" s="4">
        <v>2.8378999999999999</v>
      </c>
      <c r="D34" s="5"/>
      <c r="E34" s="5"/>
      <c r="F34" s="5"/>
    </row>
    <row r="35" spans="1:6" x14ac:dyDescent="0.25">
      <c r="A35" s="3">
        <v>218783</v>
      </c>
      <c r="B35" s="3">
        <v>218783</v>
      </c>
      <c r="C35" s="4">
        <v>2.0089000000000001</v>
      </c>
      <c r="D35" s="5"/>
      <c r="E35" s="5"/>
      <c r="F35" s="5"/>
    </row>
    <row r="36" spans="1:6" x14ac:dyDescent="0.25">
      <c r="A36" s="3">
        <v>218783</v>
      </c>
      <c r="B36" s="3">
        <v>218783</v>
      </c>
      <c r="C36" s="4">
        <v>2.0249000000000001</v>
      </c>
      <c r="D36" s="5"/>
      <c r="E36" s="5"/>
      <c r="F36" s="5"/>
    </row>
    <row r="37" spans="1:6" x14ac:dyDescent="0.25">
      <c r="A37" s="3">
        <v>218783</v>
      </c>
      <c r="B37" s="3">
        <v>218783</v>
      </c>
      <c r="C37" s="4">
        <v>2.0379999999999998</v>
      </c>
      <c r="D37" s="5"/>
      <c r="E37" s="5"/>
      <c r="F37" s="5"/>
    </row>
    <row r="38" spans="1:6" x14ac:dyDescent="0.25">
      <c r="A38" s="3">
        <v>218783</v>
      </c>
      <c r="B38" s="3">
        <v>218783</v>
      </c>
      <c r="C38" s="4">
        <v>2.0430000000000001</v>
      </c>
      <c r="D38" s="5"/>
      <c r="E38" s="5"/>
      <c r="F38" s="5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50"/>
  </sheetPr>
  <dimension ref="A1:F38"/>
  <sheetViews>
    <sheetView zoomScaleNormal="100" workbookViewId="0">
      <selection activeCell="C30" sqref="C30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2" t="s">
        <v>23</v>
      </c>
      <c r="B1" s="2"/>
      <c r="C1" s="2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SUBTOTAL(101,merge1[comparações])</f>
        <v>8503.5</v>
      </c>
      <c r="E2" s="6">
        <f>SUBTOTAL(101,merge1[trocas])</f>
        <v>8503.5</v>
      </c>
      <c r="F2" s="6">
        <f>SUBTOTAL(101,merge1[tempo (ms)])</f>
        <v>0.17358000000000001</v>
      </c>
    </row>
    <row r="3" spans="1:6" x14ac:dyDescent="0.25">
      <c r="A3" s="3">
        <v>8524</v>
      </c>
      <c r="B3" s="3">
        <v>8524</v>
      </c>
      <c r="C3" s="4">
        <v>0.1729</v>
      </c>
      <c r="D3" s="5"/>
      <c r="E3" s="5"/>
      <c r="F3" s="5"/>
    </row>
    <row r="4" spans="1:6" x14ac:dyDescent="0.25">
      <c r="A4" s="3">
        <v>8524</v>
      </c>
      <c r="B4" s="3">
        <v>8524</v>
      </c>
      <c r="C4" s="4">
        <v>0.16209999999999999</v>
      </c>
      <c r="D4" s="5"/>
      <c r="E4" s="5"/>
      <c r="F4" s="5"/>
    </row>
    <row r="5" spans="1:6" x14ac:dyDescent="0.25">
      <c r="A5" s="3">
        <v>8524</v>
      </c>
      <c r="B5" s="3">
        <v>8524</v>
      </c>
      <c r="C5" s="4">
        <v>0.16589999999999999</v>
      </c>
      <c r="D5" s="5"/>
      <c r="E5" s="5"/>
      <c r="F5" s="5"/>
    </row>
    <row r="6" spans="1:6" x14ac:dyDescent="0.25">
      <c r="A6" s="3">
        <v>8524</v>
      </c>
      <c r="B6" s="3">
        <v>8524</v>
      </c>
      <c r="C6" s="4">
        <v>0.18099999999999999</v>
      </c>
      <c r="D6" s="5"/>
      <c r="E6" s="5"/>
      <c r="F6" s="5"/>
    </row>
    <row r="7" spans="1:6" x14ac:dyDescent="0.25">
      <c r="A7" s="3">
        <v>8524</v>
      </c>
      <c r="B7" s="3">
        <v>8524</v>
      </c>
      <c r="C7" s="4">
        <v>0.1721</v>
      </c>
      <c r="D7" s="5"/>
      <c r="E7" s="5"/>
      <c r="F7" s="5"/>
    </row>
    <row r="8" spans="1:6" x14ac:dyDescent="0.25">
      <c r="A8" s="3">
        <v>8483</v>
      </c>
      <c r="B8" s="3">
        <v>8483</v>
      </c>
      <c r="C8" s="4">
        <v>0.15809999999999999</v>
      </c>
      <c r="D8" s="5"/>
      <c r="E8" s="5"/>
      <c r="F8" s="5"/>
    </row>
    <row r="9" spans="1:6" x14ac:dyDescent="0.25">
      <c r="A9" s="3">
        <v>8483</v>
      </c>
      <c r="B9" s="3">
        <v>8483</v>
      </c>
      <c r="C9" s="4">
        <v>0.2</v>
      </c>
      <c r="D9" s="5"/>
      <c r="E9" s="5"/>
      <c r="F9" s="5"/>
    </row>
    <row r="10" spans="1:6" x14ac:dyDescent="0.25">
      <c r="A10" s="3">
        <v>8483</v>
      </c>
      <c r="B10" s="3">
        <v>8483</v>
      </c>
      <c r="C10" s="4">
        <v>0.16089999999999999</v>
      </c>
      <c r="D10" s="5"/>
      <c r="E10" s="5"/>
      <c r="F10" s="5"/>
    </row>
    <row r="11" spans="1:6" x14ac:dyDescent="0.25">
      <c r="A11" s="3">
        <v>8483</v>
      </c>
      <c r="B11" s="3">
        <v>8483</v>
      </c>
      <c r="C11" s="4">
        <v>0.19500000000000001</v>
      </c>
      <c r="D11" s="5"/>
      <c r="E11" s="5"/>
      <c r="F11" s="5"/>
    </row>
    <row r="12" spans="1:6" x14ac:dyDescent="0.25">
      <c r="A12" s="3">
        <v>8483</v>
      </c>
      <c r="B12" s="3">
        <v>8483</v>
      </c>
      <c r="C12" s="4">
        <v>0.1678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2" t="s">
        <v>24</v>
      </c>
      <c r="B14" s="2"/>
      <c r="C14" s="2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SUBTOTAL(101,quick1[comparações])</f>
        <v>2944.8</v>
      </c>
      <c r="E15" s="6">
        <f>SUBTOTAL(101,quick1[trocas])</f>
        <v>3826.4</v>
      </c>
      <c r="F15" s="6">
        <f>SUBTOTAL(101,quick1[tempo (ms)])</f>
        <v>9.4659999999999994E-2</v>
      </c>
    </row>
    <row r="16" spans="1:6" x14ac:dyDescent="0.25">
      <c r="A16" s="3">
        <v>2649</v>
      </c>
      <c r="B16" s="3">
        <v>3851</v>
      </c>
      <c r="C16" s="4">
        <v>9.2999999999999999E-2</v>
      </c>
      <c r="D16" s="5"/>
      <c r="E16" s="5"/>
      <c r="F16" s="5"/>
    </row>
    <row r="17" spans="1:6" x14ac:dyDescent="0.25">
      <c r="A17" s="3">
        <v>3194</v>
      </c>
      <c r="B17" s="3">
        <v>3811</v>
      </c>
      <c r="C17" s="4">
        <v>9.4899999999999998E-2</v>
      </c>
      <c r="D17" s="5"/>
      <c r="E17" s="5"/>
      <c r="F17" s="5"/>
    </row>
    <row r="18" spans="1:6" x14ac:dyDescent="0.25">
      <c r="A18" s="3">
        <v>3194</v>
      </c>
      <c r="B18" s="3">
        <v>3811</v>
      </c>
      <c r="C18" s="4">
        <v>0.11210000000000001</v>
      </c>
      <c r="D18" s="5"/>
      <c r="E18" s="5"/>
      <c r="F18" s="5"/>
    </row>
    <row r="19" spans="1:6" x14ac:dyDescent="0.25">
      <c r="A19" s="3">
        <v>3194</v>
      </c>
      <c r="B19" s="3">
        <v>3811</v>
      </c>
      <c r="C19" s="4">
        <v>9.1800000000000007E-2</v>
      </c>
      <c r="D19" s="5"/>
      <c r="E19" s="5"/>
      <c r="F19" s="5"/>
    </row>
    <row r="20" spans="1:6" x14ac:dyDescent="0.25">
      <c r="A20" s="3">
        <v>3194</v>
      </c>
      <c r="B20" s="3">
        <v>3811</v>
      </c>
      <c r="C20" s="4">
        <v>0.1118</v>
      </c>
      <c r="D20" s="5"/>
      <c r="E20" s="5"/>
      <c r="F20" s="5"/>
    </row>
    <row r="21" spans="1:6" x14ac:dyDescent="0.25">
      <c r="A21" s="3">
        <v>3194</v>
      </c>
      <c r="B21" s="3">
        <v>3811</v>
      </c>
      <c r="C21" s="4">
        <v>8.8900000000000007E-2</v>
      </c>
      <c r="D21" s="5"/>
      <c r="E21" s="5"/>
      <c r="F21" s="5"/>
    </row>
    <row r="22" spans="1:6" x14ac:dyDescent="0.25">
      <c r="A22" s="3">
        <v>3194</v>
      </c>
      <c r="B22" s="3">
        <v>3811</v>
      </c>
      <c r="C22" s="4">
        <v>9.6100000000000005E-2</v>
      </c>
      <c r="D22" s="5"/>
      <c r="E22" s="5"/>
      <c r="F22" s="5"/>
    </row>
    <row r="23" spans="1:6" x14ac:dyDescent="0.25">
      <c r="A23" s="3">
        <v>2545</v>
      </c>
      <c r="B23" s="3">
        <v>3849</v>
      </c>
      <c r="C23" s="4">
        <v>8.6999999999999994E-2</v>
      </c>
      <c r="D23" s="5"/>
      <c r="E23" s="5"/>
      <c r="F23" s="5"/>
    </row>
    <row r="24" spans="1:6" x14ac:dyDescent="0.25">
      <c r="A24" s="3">
        <v>2545</v>
      </c>
      <c r="B24" s="3">
        <v>3849</v>
      </c>
      <c r="C24" s="4">
        <v>8.6099999999999996E-2</v>
      </c>
      <c r="D24" s="5"/>
      <c r="E24" s="5"/>
      <c r="F24" s="5"/>
    </row>
    <row r="25" spans="1:6" x14ac:dyDescent="0.25">
      <c r="A25" s="3">
        <v>2545</v>
      </c>
      <c r="B25" s="3">
        <v>3849</v>
      </c>
      <c r="C25" s="4">
        <v>8.4900000000000003E-2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2" t="s">
        <v>25</v>
      </c>
      <c r="B27" s="2"/>
      <c r="C27" s="2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SUBTOTAL(101,selection1[comparações])</f>
        <v>1934.8</v>
      </c>
      <c r="E28" s="6">
        <f>SUBTOTAL(101,selection1[trocas])</f>
        <v>891.6</v>
      </c>
      <c r="F28" s="6">
        <f>SUBTOTAL(101,selection1[tempo (ms)])</f>
        <v>1.22496</v>
      </c>
    </row>
    <row r="29" spans="1:6" x14ac:dyDescent="0.25">
      <c r="A29" s="3">
        <v>1867</v>
      </c>
      <c r="B29" s="3">
        <v>885</v>
      </c>
      <c r="C29" s="4">
        <v>1.4629000000000001</v>
      </c>
      <c r="D29" s="5"/>
      <c r="E29" s="5"/>
      <c r="F29" s="5"/>
    </row>
    <row r="30" spans="1:6" x14ac:dyDescent="0.25">
      <c r="A30" s="3">
        <v>1867</v>
      </c>
      <c r="B30" s="3">
        <v>885</v>
      </c>
      <c r="C30" s="4">
        <v>1.0998000000000001</v>
      </c>
      <c r="D30" s="5"/>
      <c r="E30" s="5"/>
      <c r="F30" s="5"/>
    </row>
    <row r="31" spans="1:6" x14ac:dyDescent="0.25">
      <c r="A31" s="3">
        <v>1867</v>
      </c>
      <c r="B31" s="3">
        <v>885</v>
      </c>
      <c r="C31" s="4">
        <v>1.4350000000000001</v>
      </c>
      <c r="D31" s="5"/>
      <c r="E31" s="5"/>
      <c r="F31" s="5"/>
    </row>
    <row r="32" spans="1:6" x14ac:dyDescent="0.25">
      <c r="A32" s="3">
        <v>1867</v>
      </c>
      <c r="B32" s="3">
        <v>885</v>
      </c>
      <c r="C32" s="4">
        <v>1.123</v>
      </c>
      <c r="D32" s="5"/>
      <c r="E32" s="5"/>
      <c r="F32" s="5"/>
    </row>
    <row r="33" spans="1:6" x14ac:dyDescent="0.25">
      <c r="A33" s="3">
        <v>1980</v>
      </c>
      <c r="B33" s="3">
        <v>896</v>
      </c>
      <c r="C33" s="4">
        <v>1.399</v>
      </c>
      <c r="D33" s="5"/>
      <c r="E33" s="5"/>
      <c r="F33" s="5"/>
    </row>
    <row r="34" spans="1:6" x14ac:dyDescent="0.25">
      <c r="A34" s="3">
        <v>1980</v>
      </c>
      <c r="B34" s="3">
        <v>896</v>
      </c>
      <c r="C34" s="4">
        <v>1.1890000000000001</v>
      </c>
      <c r="D34" s="5"/>
      <c r="E34" s="5"/>
      <c r="F34" s="5"/>
    </row>
    <row r="35" spans="1:6" x14ac:dyDescent="0.25">
      <c r="A35" s="3">
        <v>1980</v>
      </c>
      <c r="B35" s="3">
        <v>896</v>
      </c>
      <c r="C35" s="4">
        <v>1.117</v>
      </c>
      <c r="D35" s="5"/>
      <c r="E35" s="5"/>
      <c r="F35" s="5"/>
    </row>
    <row r="36" spans="1:6" x14ac:dyDescent="0.25">
      <c r="A36" s="3">
        <v>1980</v>
      </c>
      <c r="B36" s="3">
        <v>896</v>
      </c>
      <c r="C36" s="4">
        <v>1.147</v>
      </c>
      <c r="D36" s="5"/>
      <c r="E36" s="5"/>
      <c r="F36" s="5"/>
    </row>
    <row r="37" spans="1:6" x14ac:dyDescent="0.25">
      <c r="A37" s="3">
        <v>1980</v>
      </c>
      <c r="B37" s="3">
        <v>896</v>
      </c>
      <c r="C37" s="4">
        <v>1.1379999999999999</v>
      </c>
      <c r="D37" s="5"/>
      <c r="E37" s="5"/>
      <c r="F37" s="5"/>
    </row>
    <row r="38" spans="1:6" x14ac:dyDescent="0.25">
      <c r="A38" s="3">
        <v>1980</v>
      </c>
      <c r="B38" s="3">
        <v>896</v>
      </c>
      <c r="C38" s="4">
        <v>1.1389</v>
      </c>
      <c r="D38" s="5"/>
      <c r="E38" s="5"/>
      <c r="F38" s="5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A1:F39"/>
  <sheetViews>
    <sheetView zoomScaleNormal="100" workbookViewId="0">
      <selection activeCell="E2" sqref="E2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7" t="s">
        <v>17</v>
      </c>
      <c r="B1" s="7"/>
      <c r="C1" s="7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SUBTOTAL(101,bubble5_[comparações])</f>
        <v>5643302.4000000004</v>
      </c>
      <c r="E2" s="6">
        <f>SUBTOTAL(101,bubble5_[trocas])</f>
        <v>5643302.4000000004</v>
      </c>
      <c r="F2" s="6">
        <f>SUBTOTAL(101,bubble5_[tempo (ms)])</f>
        <v>121.74323999999999</v>
      </c>
    </row>
    <row r="3" spans="1:6" x14ac:dyDescent="0.25">
      <c r="A3" s="3">
        <v>5653978</v>
      </c>
      <c r="B3" s="3">
        <v>5653978</v>
      </c>
      <c r="C3" s="4">
        <v>132.31899999999999</v>
      </c>
      <c r="D3" s="5"/>
      <c r="E3" s="5"/>
      <c r="F3" s="5"/>
    </row>
    <row r="4" spans="1:6" x14ac:dyDescent="0.25">
      <c r="A4" s="3">
        <v>5653978</v>
      </c>
      <c r="B4" s="3">
        <v>5653978</v>
      </c>
      <c r="C4" s="4">
        <v>129.79820000000001</v>
      </c>
      <c r="D4" s="5"/>
      <c r="E4" s="5"/>
      <c r="F4" s="5"/>
    </row>
    <row r="5" spans="1:6" x14ac:dyDescent="0.25">
      <c r="A5" s="3">
        <v>5639999</v>
      </c>
      <c r="B5" s="3">
        <v>5639999</v>
      </c>
      <c r="C5" s="4">
        <v>118.825</v>
      </c>
      <c r="D5" s="5"/>
      <c r="E5" s="5"/>
      <c r="F5" s="5"/>
    </row>
    <row r="6" spans="1:6" x14ac:dyDescent="0.25">
      <c r="A6" s="3">
        <v>5639999</v>
      </c>
      <c r="B6" s="3">
        <v>5639999</v>
      </c>
      <c r="C6" s="4">
        <v>117.6031</v>
      </c>
      <c r="D6" s="5"/>
      <c r="E6" s="5"/>
      <c r="F6" s="5"/>
    </row>
    <row r="7" spans="1:6" x14ac:dyDescent="0.25">
      <c r="A7" s="3">
        <v>5639999</v>
      </c>
      <c r="B7" s="3">
        <v>5639999</v>
      </c>
      <c r="C7" s="4">
        <v>119.489</v>
      </c>
      <c r="D7" s="5"/>
      <c r="E7" s="5"/>
      <c r="F7" s="5"/>
    </row>
    <row r="8" spans="1:6" x14ac:dyDescent="0.25">
      <c r="A8" s="3">
        <v>5639999</v>
      </c>
      <c r="B8" s="3">
        <v>5639999</v>
      </c>
      <c r="C8" s="4">
        <v>118.1152</v>
      </c>
      <c r="D8" s="5"/>
      <c r="E8" s="5"/>
      <c r="F8" s="5"/>
    </row>
    <row r="9" spans="1:6" x14ac:dyDescent="0.25">
      <c r="A9" s="3">
        <v>5639999</v>
      </c>
      <c r="B9" s="3">
        <v>5639999</v>
      </c>
      <c r="C9" s="4">
        <v>120.3289</v>
      </c>
      <c r="D9" s="5"/>
      <c r="E9" s="5"/>
      <c r="F9" s="5"/>
    </row>
    <row r="10" spans="1:6" x14ac:dyDescent="0.25">
      <c r="A10" s="3">
        <v>5641691</v>
      </c>
      <c r="B10" s="3">
        <v>5641691</v>
      </c>
      <c r="C10" s="4">
        <v>120.002</v>
      </c>
      <c r="D10" s="5"/>
      <c r="E10" s="5"/>
      <c r="F10" s="5"/>
    </row>
    <row r="11" spans="1:6" x14ac:dyDescent="0.25">
      <c r="A11" s="3">
        <v>5641691</v>
      </c>
      <c r="B11" s="3">
        <v>5641691</v>
      </c>
      <c r="C11" s="4">
        <v>123.455</v>
      </c>
      <c r="D11" s="5"/>
      <c r="E11" s="5"/>
      <c r="F11" s="5"/>
    </row>
    <row r="12" spans="1:6" x14ac:dyDescent="0.25">
      <c r="A12" s="3">
        <v>5641691</v>
      </c>
      <c r="B12" s="3">
        <v>5641691</v>
      </c>
      <c r="C12" s="4">
        <v>117.497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7" t="s">
        <v>20</v>
      </c>
      <c r="B14" s="7"/>
      <c r="C14" s="7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SUBTOTAL(101,heap5[comparações])</f>
        <v>64580.6</v>
      </c>
      <c r="E15" s="6">
        <f>SUBTOTAL(101,heap5[trocas])</f>
        <v>51817</v>
      </c>
      <c r="F15" s="6">
        <f>SUBTOTAL(101,heap5[tempo (ms)])</f>
        <v>1.3660000000000001</v>
      </c>
    </row>
    <row r="16" spans="1:6" x14ac:dyDescent="0.25">
      <c r="A16" s="3">
        <v>64727</v>
      </c>
      <c r="B16" s="3">
        <v>51921</v>
      </c>
      <c r="C16" s="4">
        <v>1.3139000000000001</v>
      </c>
      <c r="D16" s="5"/>
      <c r="E16" s="5"/>
      <c r="F16" s="5"/>
    </row>
    <row r="17" spans="1:6" x14ac:dyDescent="0.25">
      <c r="A17" s="3">
        <v>64727</v>
      </c>
      <c r="B17" s="3">
        <v>51921</v>
      </c>
      <c r="C17" s="4">
        <v>1.3001</v>
      </c>
      <c r="D17" s="5"/>
      <c r="E17" s="5"/>
      <c r="F17" s="5"/>
    </row>
    <row r="18" spans="1:6" x14ac:dyDescent="0.25">
      <c r="A18" s="3">
        <v>64544</v>
      </c>
      <c r="B18" s="3">
        <v>51791</v>
      </c>
      <c r="C18" s="4">
        <v>1.6297999999999999</v>
      </c>
      <c r="D18" s="5"/>
      <c r="E18" s="5"/>
      <c r="F18" s="5"/>
    </row>
    <row r="19" spans="1:6" x14ac:dyDescent="0.25">
      <c r="A19" s="3">
        <v>64544</v>
      </c>
      <c r="B19" s="3">
        <v>51791</v>
      </c>
      <c r="C19" s="4">
        <v>1.3461000000000001</v>
      </c>
      <c r="D19" s="5"/>
      <c r="E19" s="5"/>
      <c r="F19" s="5"/>
    </row>
    <row r="20" spans="1:6" x14ac:dyDescent="0.25">
      <c r="A20" s="3">
        <v>64544</v>
      </c>
      <c r="B20" s="3">
        <v>51791</v>
      </c>
      <c r="C20" s="4">
        <v>1.2750999999999999</v>
      </c>
      <c r="D20" s="5"/>
      <c r="E20" s="5"/>
      <c r="F20" s="5"/>
    </row>
    <row r="21" spans="1:6" x14ac:dyDescent="0.25">
      <c r="A21" s="3">
        <v>64544</v>
      </c>
      <c r="B21" s="3">
        <v>51791</v>
      </c>
      <c r="C21" s="4">
        <v>1.478</v>
      </c>
      <c r="D21" s="5"/>
      <c r="E21" s="5"/>
      <c r="F21" s="5"/>
    </row>
    <row r="22" spans="1:6" x14ac:dyDescent="0.25">
      <c r="A22" s="3">
        <v>64544</v>
      </c>
      <c r="B22" s="3">
        <v>51791</v>
      </c>
      <c r="C22" s="4">
        <v>1.3249</v>
      </c>
      <c r="D22" s="5"/>
      <c r="E22" s="5"/>
      <c r="F22" s="5"/>
    </row>
    <row r="23" spans="1:6" x14ac:dyDescent="0.25">
      <c r="A23" s="3">
        <v>64544</v>
      </c>
      <c r="B23" s="3">
        <v>51791</v>
      </c>
      <c r="C23" s="4">
        <v>1.3080000000000001</v>
      </c>
      <c r="D23" s="5"/>
      <c r="E23" s="5"/>
      <c r="F23" s="5"/>
    </row>
    <row r="24" spans="1:6" x14ac:dyDescent="0.25">
      <c r="A24" s="3">
        <v>64544</v>
      </c>
      <c r="B24" s="3">
        <v>51791</v>
      </c>
      <c r="C24" s="4">
        <v>1.3261000000000001</v>
      </c>
      <c r="D24" s="5"/>
      <c r="E24" s="5"/>
      <c r="F24" s="5"/>
    </row>
    <row r="25" spans="1:6" x14ac:dyDescent="0.25">
      <c r="A25" s="3">
        <v>64544</v>
      </c>
      <c r="B25" s="3">
        <v>51791</v>
      </c>
      <c r="C25" s="4">
        <v>1.3580000000000001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7" t="s">
        <v>21</v>
      </c>
      <c r="B27" s="7"/>
      <c r="C27" s="7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SUBTOTAL(101,insertion5[comparações])</f>
        <v>5599468.7999999998</v>
      </c>
      <c r="E28" s="6">
        <f>SUBTOTAL(101,insertion5[trocas])</f>
        <v>5599468.7999999998</v>
      </c>
      <c r="F28" s="6">
        <f>SUBTOTAL(101,insertion5[tempo (ms)])</f>
        <v>56.5687</v>
      </c>
    </row>
    <row r="29" spans="1:6" x14ac:dyDescent="0.25">
      <c r="A29" s="3">
        <v>5619396</v>
      </c>
      <c r="B29" s="3">
        <v>5619396</v>
      </c>
      <c r="C29" s="4">
        <v>55.491900000000001</v>
      </c>
      <c r="D29" s="5"/>
      <c r="E29" s="5"/>
      <c r="F29" s="5"/>
    </row>
    <row r="30" spans="1:6" x14ac:dyDescent="0.25">
      <c r="A30" s="3">
        <v>5619396</v>
      </c>
      <c r="B30" s="3">
        <v>5619396</v>
      </c>
      <c r="C30" s="4">
        <v>60.426000000000002</v>
      </c>
      <c r="D30" s="5"/>
      <c r="E30" s="5"/>
      <c r="F30" s="5"/>
    </row>
    <row r="31" spans="1:6" x14ac:dyDescent="0.25">
      <c r="A31" s="3">
        <v>5619396</v>
      </c>
      <c r="B31" s="3">
        <v>5619396</v>
      </c>
      <c r="C31" s="4">
        <v>59.411999999999999</v>
      </c>
      <c r="D31" s="5"/>
      <c r="E31" s="5"/>
      <c r="F31" s="5"/>
    </row>
    <row r="32" spans="1:6" x14ac:dyDescent="0.25">
      <c r="A32" s="3">
        <v>5585140</v>
      </c>
      <c r="B32" s="3">
        <v>5585140</v>
      </c>
      <c r="C32" s="4">
        <v>54.393999999999998</v>
      </c>
      <c r="D32" s="5"/>
      <c r="E32" s="5"/>
      <c r="F32" s="5"/>
    </row>
    <row r="33" spans="1:6" x14ac:dyDescent="0.25">
      <c r="A33" s="3">
        <v>5585140</v>
      </c>
      <c r="B33" s="3">
        <v>5585140</v>
      </c>
      <c r="C33" s="4">
        <v>53.751899999999999</v>
      </c>
      <c r="D33" s="5"/>
      <c r="E33" s="5"/>
      <c r="F33" s="5"/>
    </row>
    <row r="34" spans="1:6" x14ac:dyDescent="0.25">
      <c r="A34" s="3">
        <v>5585140</v>
      </c>
      <c r="B34" s="3">
        <v>5585140</v>
      </c>
      <c r="C34" s="4">
        <v>54.191099999999999</v>
      </c>
      <c r="D34" s="5"/>
      <c r="E34" s="5"/>
      <c r="F34" s="5"/>
    </row>
    <row r="35" spans="1:6" x14ac:dyDescent="0.25">
      <c r="A35" s="3">
        <v>5585140</v>
      </c>
      <c r="B35" s="3">
        <v>5585140</v>
      </c>
      <c r="C35" s="4">
        <v>52.699100000000001</v>
      </c>
      <c r="D35" s="5"/>
      <c r="E35" s="5"/>
      <c r="F35" s="5"/>
    </row>
    <row r="36" spans="1:6" x14ac:dyDescent="0.25">
      <c r="A36" s="3">
        <v>5585140</v>
      </c>
      <c r="B36" s="3">
        <v>5585140</v>
      </c>
      <c r="C36" s="4">
        <v>53.825099999999999</v>
      </c>
      <c r="D36" s="5"/>
      <c r="E36" s="5"/>
      <c r="F36" s="5"/>
    </row>
    <row r="37" spans="1:6" x14ac:dyDescent="0.25">
      <c r="A37" s="3">
        <v>5585140</v>
      </c>
      <c r="B37" s="3">
        <v>5585140</v>
      </c>
      <c r="C37" s="4">
        <v>55.494999999999997</v>
      </c>
      <c r="D37" s="5"/>
      <c r="E37" s="5"/>
      <c r="F37" s="5"/>
    </row>
    <row r="38" spans="1:6" x14ac:dyDescent="0.25">
      <c r="A38" s="3">
        <v>5625660</v>
      </c>
      <c r="B38" s="3">
        <v>5625660</v>
      </c>
      <c r="C38" s="4">
        <v>66.000900000000001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FFFF00"/>
  </sheetPr>
  <dimension ref="A1:F39"/>
  <sheetViews>
    <sheetView zoomScaleNormal="100" workbookViewId="0">
      <selection activeCell="B29" sqref="B29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7" t="s">
        <v>23</v>
      </c>
      <c r="B1" s="7"/>
      <c r="C1" s="7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SUBTOTAL(101,merge5[comparações])</f>
        <v>53553.1</v>
      </c>
      <c r="E2" s="6">
        <f>SUBTOTAL(101,merge5[trocas])</f>
        <v>53553.1</v>
      </c>
      <c r="F2" s="6">
        <f>SUBTOTAL(101,merge5[tempo (ms)])</f>
        <v>1.0823800000000001</v>
      </c>
    </row>
    <row r="3" spans="1:6" x14ac:dyDescent="0.25">
      <c r="A3" s="3">
        <v>53425</v>
      </c>
      <c r="B3" s="3">
        <v>53425</v>
      </c>
      <c r="C3" s="4">
        <v>1.2441</v>
      </c>
      <c r="D3" s="5"/>
      <c r="E3" s="5"/>
      <c r="F3" s="5"/>
    </row>
    <row r="4" spans="1:6" x14ac:dyDescent="0.25">
      <c r="A4" s="3">
        <v>53650</v>
      </c>
      <c r="B4" s="3">
        <v>53650</v>
      </c>
      <c r="C4" s="4">
        <v>1.05</v>
      </c>
      <c r="D4" s="5"/>
      <c r="E4" s="5"/>
      <c r="F4" s="5"/>
    </row>
    <row r="5" spans="1:6" x14ac:dyDescent="0.25">
      <c r="A5" s="3">
        <v>53650</v>
      </c>
      <c r="B5" s="3">
        <v>53650</v>
      </c>
      <c r="C5" s="4">
        <v>1.1798999999999999</v>
      </c>
      <c r="D5" s="5"/>
      <c r="E5" s="5"/>
      <c r="F5" s="5"/>
    </row>
    <row r="6" spans="1:6" x14ac:dyDescent="0.25">
      <c r="A6" s="3">
        <v>53650</v>
      </c>
      <c r="B6" s="3">
        <v>53650</v>
      </c>
      <c r="C6" s="4">
        <v>1.333</v>
      </c>
      <c r="D6" s="5"/>
      <c r="E6" s="5"/>
      <c r="F6" s="5"/>
    </row>
    <row r="7" spans="1:6" x14ac:dyDescent="0.25">
      <c r="A7" s="3">
        <v>53650</v>
      </c>
      <c r="B7" s="3">
        <v>53650</v>
      </c>
      <c r="C7" s="4">
        <v>0.97109999999999996</v>
      </c>
      <c r="D7" s="5"/>
      <c r="E7" s="5"/>
      <c r="F7" s="5"/>
    </row>
    <row r="8" spans="1:6" x14ac:dyDescent="0.25">
      <c r="A8" s="3">
        <v>53650</v>
      </c>
      <c r="B8" s="3">
        <v>53650</v>
      </c>
      <c r="C8" s="4">
        <v>0.96299999999999997</v>
      </c>
      <c r="D8" s="5"/>
      <c r="E8" s="5"/>
      <c r="F8" s="5"/>
    </row>
    <row r="9" spans="1:6" x14ac:dyDescent="0.25">
      <c r="A9" s="3">
        <v>53650</v>
      </c>
      <c r="B9" s="3">
        <v>53650</v>
      </c>
      <c r="C9" s="4">
        <v>0.94579999999999997</v>
      </c>
      <c r="D9" s="5"/>
      <c r="E9" s="5"/>
      <c r="F9" s="5"/>
    </row>
    <row r="10" spans="1:6" x14ac:dyDescent="0.25">
      <c r="A10" s="3">
        <v>53402</v>
      </c>
      <c r="B10" s="3">
        <v>53402</v>
      </c>
      <c r="C10" s="4">
        <v>0.94510000000000005</v>
      </c>
      <c r="D10" s="5"/>
      <c r="E10" s="5"/>
      <c r="F10" s="5"/>
    </row>
    <row r="11" spans="1:6" x14ac:dyDescent="0.25">
      <c r="A11" s="3">
        <v>53402</v>
      </c>
      <c r="B11" s="3">
        <v>53402</v>
      </c>
      <c r="C11" s="4">
        <v>0.96799999999999997</v>
      </c>
      <c r="D11" s="5"/>
      <c r="E11" s="5"/>
      <c r="F11" s="5"/>
    </row>
    <row r="12" spans="1:6" x14ac:dyDescent="0.25">
      <c r="A12" s="3">
        <v>53402</v>
      </c>
      <c r="B12" s="3">
        <v>53402</v>
      </c>
      <c r="C12" s="4">
        <v>1.2238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7" t="s">
        <v>24</v>
      </c>
      <c r="B14" s="7"/>
      <c r="C14" s="7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SUBTOTAL(101,quick5[comparações])</f>
        <v>12549.7</v>
      </c>
      <c r="E15" s="6">
        <f>SUBTOTAL(101,quick5[trocas])</f>
        <v>24955.3</v>
      </c>
      <c r="F15" s="6">
        <f>SUBTOTAL(101,quick5[tempo (ms)])</f>
        <v>0.51195000000000013</v>
      </c>
    </row>
    <row r="16" spans="1:6" x14ac:dyDescent="0.25">
      <c r="A16" s="3">
        <v>12292</v>
      </c>
      <c r="B16" s="3">
        <v>24907</v>
      </c>
      <c r="C16" s="4">
        <v>0.51380000000000003</v>
      </c>
      <c r="D16" s="5"/>
      <c r="E16" s="5"/>
      <c r="F16" s="5"/>
    </row>
    <row r="17" spans="1:6" x14ac:dyDescent="0.25">
      <c r="A17" s="3">
        <v>12292</v>
      </c>
      <c r="B17" s="3">
        <v>24907</v>
      </c>
      <c r="C17" s="4">
        <v>0.4778</v>
      </c>
      <c r="D17" s="5"/>
      <c r="E17" s="5"/>
      <c r="F17" s="5"/>
    </row>
    <row r="18" spans="1:6" x14ac:dyDescent="0.25">
      <c r="A18" s="3">
        <v>12292</v>
      </c>
      <c r="B18" s="3">
        <v>24907</v>
      </c>
      <c r="C18" s="4">
        <v>0.46989999999999998</v>
      </c>
      <c r="D18" s="5"/>
      <c r="E18" s="5"/>
      <c r="F18" s="5"/>
    </row>
    <row r="19" spans="1:6" x14ac:dyDescent="0.25">
      <c r="A19" s="3">
        <v>12403</v>
      </c>
      <c r="B19" s="3">
        <v>24968</v>
      </c>
      <c r="C19" s="4">
        <v>0.54910000000000003</v>
      </c>
      <c r="D19" s="5"/>
      <c r="E19" s="5"/>
      <c r="F19" s="5"/>
    </row>
    <row r="20" spans="1:6" x14ac:dyDescent="0.25">
      <c r="A20" s="3">
        <v>12403</v>
      </c>
      <c r="B20" s="3">
        <v>24968</v>
      </c>
      <c r="C20" s="4">
        <v>0.48399999999999999</v>
      </c>
      <c r="D20" s="5"/>
      <c r="E20" s="5"/>
      <c r="F20" s="5"/>
    </row>
    <row r="21" spans="1:6" x14ac:dyDescent="0.25">
      <c r="A21" s="3">
        <v>12403</v>
      </c>
      <c r="B21" s="3">
        <v>24968</v>
      </c>
      <c r="C21" s="4">
        <v>0.49</v>
      </c>
      <c r="D21" s="5"/>
      <c r="E21" s="5"/>
      <c r="F21" s="5"/>
    </row>
    <row r="22" spans="1:6" x14ac:dyDescent="0.25">
      <c r="A22" s="3">
        <v>12403</v>
      </c>
      <c r="B22" s="3">
        <v>24968</v>
      </c>
      <c r="C22" s="4">
        <v>0.49809999999999999</v>
      </c>
      <c r="D22" s="5"/>
      <c r="E22" s="5"/>
      <c r="F22" s="5"/>
    </row>
    <row r="23" spans="1:6" x14ac:dyDescent="0.25">
      <c r="A23" s="3">
        <v>12403</v>
      </c>
      <c r="B23" s="3">
        <v>24968</v>
      </c>
      <c r="C23" s="4">
        <v>0.47589999999999999</v>
      </c>
      <c r="D23" s="5"/>
      <c r="E23" s="5"/>
      <c r="F23" s="5"/>
    </row>
    <row r="24" spans="1:6" x14ac:dyDescent="0.25">
      <c r="A24" s="3">
        <v>13303</v>
      </c>
      <c r="B24" s="3">
        <v>24996</v>
      </c>
      <c r="C24" s="4">
        <v>0.69689999999999996</v>
      </c>
      <c r="D24" s="5"/>
      <c r="E24" s="5"/>
      <c r="F24" s="5"/>
    </row>
    <row r="25" spans="1:6" x14ac:dyDescent="0.25">
      <c r="A25" s="3">
        <v>13303</v>
      </c>
      <c r="B25" s="3">
        <v>24996</v>
      </c>
      <c r="C25" s="4">
        <v>0.46400000000000002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7" t="s">
        <v>25</v>
      </c>
      <c r="B27" s="7"/>
      <c r="C27" s="7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SUBTOTAL(101,selection5[comparações])</f>
        <v>9567</v>
      </c>
      <c r="E28" s="6">
        <f>SUBTOTAL(101,selection5[trocas])</f>
        <v>4513</v>
      </c>
      <c r="F28" s="6">
        <f>SUBTOTAL(101,selection5[tempo (ms)])</f>
        <v>29.090519999999991</v>
      </c>
    </row>
    <row r="29" spans="1:6" x14ac:dyDescent="0.25">
      <c r="A29" s="3">
        <v>9619</v>
      </c>
      <c r="B29" s="3">
        <v>4505</v>
      </c>
      <c r="C29" s="4">
        <v>28.3642</v>
      </c>
      <c r="D29" s="5"/>
      <c r="E29" s="5"/>
      <c r="F29" s="5"/>
    </row>
    <row r="30" spans="1:6" x14ac:dyDescent="0.25">
      <c r="A30" s="3">
        <v>9619</v>
      </c>
      <c r="B30" s="3">
        <v>4505</v>
      </c>
      <c r="C30" s="4">
        <v>31.321000000000002</v>
      </c>
      <c r="D30" s="5"/>
      <c r="E30" s="5"/>
      <c r="F30" s="5"/>
    </row>
    <row r="31" spans="1:6" x14ac:dyDescent="0.25">
      <c r="A31" s="3">
        <v>9554</v>
      </c>
      <c r="B31" s="3">
        <v>4515</v>
      </c>
      <c r="C31" s="4">
        <v>29.549800000000001</v>
      </c>
      <c r="D31" s="5"/>
      <c r="E31" s="5"/>
      <c r="F31" s="5"/>
    </row>
    <row r="32" spans="1:6" x14ac:dyDescent="0.25">
      <c r="A32" s="3">
        <v>9554</v>
      </c>
      <c r="B32" s="3">
        <v>4515</v>
      </c>
      <c r="C32" s="4">
        <v>29.151900000000001</v>
      </c>
      <c r="D32" s="5"/>
      <c r="E32" s="5"/>
      <c r="F32" s="5"/>
    </row>
    <row r="33" spans="1:6" x14ac:dyDescent="0.25">
      <c r="A33" s="3">
        <v>9554</v>
      </c>
      <c r="B33" s="3">
        <v>4515</v>
      </c>
      <c r="C33" s="4">
        <v>28.299099999999999</v>
      </c>
      <c r="D33" s="5"/>
      <c r="E33" s="5"/>
      <c r="F33" s="5"/>
    </row>
    <row r="34" spans="1:6" x14ac:dyDescent="0.25">
      <c r="A34" s="3">
        <v>9554</v>
      </c>
      <c r="B34" s="3">
        <v>4515</v>
      </c>
      <c r="C34" s="4">
        <v>28.371099999999998</v>
      </c>
      <c r="D34" s="5"/>
      <c r="E34" s="5"/>
      <c r="F34" s="5"/>
    </row>
    <row r="35" spans="1:6" x14ac:dyDescent="0.25">
      <c r="A35" s="3">
        <v>9554</v>
      </c>
      <c r="B35" s="3">
        <v>4515</v>
      </c>
      <c r="C35" s="4">
        <v>28.0581</v>
      </c>
      <c r="D35" s="5"/>
      <c r="E35" s="5"/>
      <c r="F35" s="5"/>
    </row>
    <row r="36" spans="1:6" x14ac:dyDescent="0.25">
      <c r="A36" s="3">
        <v>9554</v>
      </c>
      <c r="B36" s="3">
        <v>4515</v>
      </c>
      <c r="C36" s="4">
        <v>28.2121</v>
      </c>
      <c r="D36" s="5"/>
      <c r="E36" s="5"/>
      <c r="F36" s="5"/>
    </row>
    <row r="37" spans="1:6" x14ac:dyDescent="0.25">
      <c r="A37" s="3">
        <v>9554</v>
      </c>
      <c r="B37" s="3">
        <v>4515</v>
      </c>
      <c r="C37" s="4">
        <v>28.244</v>
      </c>
      <c r="D37" s="5"/>
      <c r="E37" s="5"/>
      <c r="F37" s="5"/>
    </row>
    <row r="38" spans="1:6" x14ac:dyDescent="0.25">
      <c r="A38" s="3">
        <v>9554</v>
      </c>
      <c r="B38" s="3">
        <v>4515</v>
      </c>
      <c r="C38" s="4">
        <v>31.3339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FFC000"/>
  </sheetPr>
  <dimension ref="A1:F39"/>
  <sheetViews>
    <sheetView zoomScaleNormal="100" workbookViewId="0">
      <selection activeCell="G21" sqref="G21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8" t="s">
        <v>17</v>
      </c>
      <c r="B1" s="8"/>
      <c r="C1" s="8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SUBTOTAL(101,bubble10_[comparações])</f>
        <v>22542997.399999999</v>
      </c>
      <c r="E2" s="6">
        <f>SUBTOTAL(101,bubble10_[trocas])</f>
        <v>22542997.399999999</v>
      </c>
      <c r="F2" s="6">
        <f>SUBTOTAL(101,bubble10_[tempo (ms)])</f>
        <v>489.18585000000002</v>
      </c>
    </row>
    <row r="3" spans="1:6" x14ac:dyDescent="0.25">
      <c r="A3" s="3">
        <v>22583039</v>
      </c>
      <c r="B3" s="3">
        <v>22583039</v>
      </c>
      <c r="C3" s="4">
        <v>503.66</v>
      </c>
      <c r="D3" s="5"/>
      <c r="E3" s="5"/>
      <c r="F3" s="5"/>
    </row>
    <row r="4" spans="1:6" x14ac:dyDescent="0.25">
      <c r="A4" s="3">
        <v>22583039</v>
      </c>
      <c r="B4" s="3">
        <v>22583039</v>
      </c>
      <c r="C4" s="4">
        <v>511.72989999999999</v>
      </c>
      <c r="D4" s="5"/>
      <c r="E4" s="5"/>
      <c r="F4" s="5"/>
    </row>
    <row r="5" spans="1:6" x14ac:dyDescent="0.25">
      <c r="A5" s="3">
        <v>22203248</v>
      </c>
      <c r="B5" s="3">
        <v>22203248</v>
      </c>
      <c r="C5" s="4">
        <v>479.12</v>
      </c>
      <c r="D5" s="5"/>
      <c r="E5" s="5"/>
      <c r="F5" s="5"/>
    </row>
    <row r="6" spans="1:6" x14ac:dyDescent="0.25">
      <c r="A6" s="3">
        <v>22476771</v>
      </c>
      <c r="B6" s="3">
        <v>22476771</v>
      </c>
      <c r="C6" s="4">
        <v>479.75799999999998</v>
      </c>
      <c r="D6" s="5"/>
      <c r="E6" s="5"/>
      <c r="F6" s="5"/>
    </row>
    <row r="7" spans="1:6" x14ac:dyDescent="0.25">
      <c r="A7" s="3">
        <v>22476771</v>
      </c>
      <c r="B7" s="3">
        <v>22476771</v>
      </c>
      <c r="C7" s="4">
        <v>487.49090000000001</v>
      </c>
      <c r="D7" s="5"/>
      <c r="E7" s="5"/>
      <c r="F7" s="5"/>
    </row>
    <row r="8" spans="1:6" x14ac:dyDescent="0.25">
      <c r="A8" s="3">
        <v>22301065</v>
      </c>
      <c r="B8" s="3">
        <v>22301065</v>
      </c>
      <c r="C8" s="4">
        <v>492.59899999999999</v>
      </c>
      <c r="D8" s="5"/>
      <c r="E8" s="5"/>
      <c r="F8" s="5"/>
    </row>
    <row r="9" spans="1:6" x14ac:dyDescent="0.25">
      <c r="A9" s="3">
        <v>22301065</v>
      </c>
      <c r="B9" s="3">
        <v>22301065</v>
      </c>
      <c r="C9" s="4">
        <v>469.6019</v>
      </c>
      <c r="D9" s="5"/>
      <c r="E9" s="5"/>
      <c r="F9" s="5"/>
    </row>
    <row r="10" spans="1:6" x14ac:dyDescent="0.25">
      <c r="A10" s="3">
        <v>22781796</v>
      </c>
      <c r="B10" s="3">
        <v>22781796</v>
      </c>
      <c r="C10" s="4">
        <v>477.41289999999998</v>
      </c>
      <c r="D10" s="5"/>
      <c r="E10" s="5"/>
      <c r="F10" s="5"/>
    </row>
    <row r="11" spans="1:6" x14ac:dyDescent="0.25">
      <c r="A11" s="3">
        <v>22861590</v>
      </c>
      <c r="B11" s="3">
        <v>22861590</v>
      </c>
      <c r="C11" s="4">
        <v>495.57900000000001</v>
      </c>
      <c r="D11" s="5"/>
      <c r="E11" s="5"/>
      <c r="F11" s="5"/>
    </row>
    <row r="12" spans="1:6" x14ac:dyDescent="0.25">
      <c r="A12" s="3">
        <v>22861590</v>
      </c>
      <c r="B12" s="3">
        <v>22861590</v>
      </c>
      <c r="C12" s="4">
        <v>494.90690000000001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8" t="s">
        <v>20</v>
      </c>
      <c r="B14" s="8"/>
      <c r="C14" s="8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SUBTOTAL(101,heap10[comparações])</f>
        <v>142255</v>
      </c>
      <c r="E15" s="6">
        <f>SUBTOTAL(101,heap10[trocas])</f>
        <v>112662</v>
      </c>
      <c r="F15" s="6">
        <f>SUBTOTAL(101,heap10[tempo (ms)])</f>
        <v>3.1580599999999999</v>
      </c>
    </row>
    <row r="16" spans="1:6" x14ac:dyDescent="0.25">
      <c r="A16" s="3">
        <v>142130</v>
      </c>
      <c r="B16" s="3">
        <v>112653</v>
      </c>
      <c r="C16" s="4">
        <v>2.9468999999999999</v>
      </c>
      <c r="D16" s="5"/>
      <c r="E16" s="5"/>
      <c r="F16" s="5"/>
    </row>
    <row r="17" spans="1:6" x14ac:dyDescent="0.25">
      <c r="A17" s="3">
        <v>142130</v>
      </c>
      <c r="B17" s="3">
        <v>112653</v>
      </c>
      <c r="C17" s="4">
        <v>3.0228999999999999</v>
      </c>
      <c r="D17" s="5"/>
      <c r="E17" s="5"/>
      <c r="F17" s="5"/>
    </row>
    <row r="18" spans="1:6" x14ac:dyDescent="0.25">
      <c r="A18" s="3">
        <v>142130</v>
      </c>
      <c r="B18" s="3">
        <v>112653</v>
      </c>
      <c r="C18" s="4">
        <v>2.9249000000000001</v>
      </c>
      <c r="D18" s="5"/>
      <c r="E18" s="5"/>
      <c r="F18" s="5"/>
    </row>
    <row r="19" spans="1:6" x14ac:dyDescent="0.25">
      <c r="A19" s="3">
        <v>142130</v>
      </c>
      <c r="B19" s="3">
        <v>112653</v>
      </c>
      <c r="C19" s="4">
        <v>3.3759999999999999</v>
      </c>
      <c r="D19" s="5"/>
      <c r="E19" s="5"/>
      <c r="F19" s="5"/>
    </row>
    <row r="20" spans="1:6" x14ac:dyDescent="0.25">
      <c r="A20" s="3">
        <v>142130</v>
      </c>
      <c r="B20" s="3">
        <v>112653</v>
      </c>
      <c r="C20" s="4">
        <v>3.577</v>
      </c>
      <c r="D20" s="5"/>
      <c r="E20" s="5"/>
      <c r="F20" s="5"/>
    </row>
    <row r="21" spans="1:6" x14ac:dyDescent="0.25">
      <c r="A21" s="3">
        <v>142380</v>
      </c>
      <c r="B21" s="3">
        <v>112671</v>
      </c>
      <c r="C21" s="4">
        <v>3.3698000000000001</v>
      </c>
      <c r="D21" s="5"/>
      <c r="E21" s="5"/>
      <c r="F21" s="5"/>
    </row>
    <row r="22" spans="1:6" x14ac:dyDescent="0.25">
      <c r="A22" s="3">
        <v>142380</v>
      </c>
      <c r="B22" s="3">
        <v>112671</v>
      </c>
      <c r="C22" s="4">
        <v>3.0322</v>
      </c>
      <c r="D22" s="5"/>
      <c r="E22" s="5"/>
      <c r="F22" s="5"/>
    </row>
    <row r="23" spans="1:6" x14ac:dyDescent="0.25">
      <c r="A23" s="3">
        <v>142380</v>
      </c>
      <c r="B23" s="3">
        <v>112671</v>
      </c>
      <c r="C23" s="4">
        <v>2.964</v>
      </c>
      <c r="D23" s="5"/>
      <c r="E23" s="5"/>
      <c r="F23" s="5"/>
    </row>
    <row r="24" spans="1:6" x14ac:dyDescent="0.25">
      <c r="A24" s="3">
        <v>142380</v>
      </c>
      <c r="B24" s="3">
        <v>112671</v>
      </c>
      <c r="C24" s="4">
        <v>3.427</v>
      </c>
      <c r="D24" s="5"/>
      <c r="E24" s="5"/>
      <c r="F24" s="5"/>
    </row>
    <row r="25" spans="1:6" x14ac:dyDescent="0.25">
      <c r="A25" s="3">
        <v>142380</v>
      </c>
      <c r="B25" s="3">
        <v>112671</v>
      </c>
      <c r="C25" s="4">
        <v>2.9399000000000002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8" t="s">
        <v>21</v>
      </c>
      <c r="B27" s="8"/>
      <c r="C27" s="8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SUBTOTAL(101,insertion10[comparações])</f>
        <v>22490222.5</v>
      </c>
      <c r="E28" s="6">
        <f>SUBTOTAL(101,insertion10[trocas])</f>
        <v>22490222.5</v>
      </c>
      <c r="F28" s="6">
        <f>SUBTOTAL(101,insertion10[tempo (ms)])</f>
        <v>221.58328999999998</v>
      </c>
    </row>
    <row r="29" spans="1:6" x14ac:dyDescent="0.25">
      <c r="A29" s="3">
        <v>22249399</v>
      </c>
      <c r="B29" s="3">
        <v>22249399</v>
      </c>
      <c r="C29" s="4">
        <v>211.08099999999999</v>
      </c>
      <c r="D29" s="5"/>
      <c r="E29" s="5"/>
      <c r="F29" s="5"/>
    </row>
    <row r="30" spans="1:6" x14ac:dyDescent="0.25">
      <c r="A30" s="3">
        <v>22453563</v>
      </c>
      <c r="B30" s="3">
        <v>22453563</v>
      </c>
      <c r="C30" s="4">
        <v>263.87689999999998</v>
      </c>
      <c r="D30" s="5"/>
      <c r="E30" s="5"/>
      <c r="F30" s="5"/>
    </row>
    <row r="31" spans="1:6" x14ac:dyDescent="0.25">
      <c r="A31" s="3">
        <v>22453563</v>
      </c>
      <c r="B31" s="3">
        <v>22453563</v>
      </c>
      <c r="C31" s="4">
        <v>212.97</v>
      </c>
      <c r="D31" s="5"/>
      <c r="E31" s="5"/>
      <c r="F31" s="5"/>
    </row>
    <row r="32" spans="1:6" x14ac:dyDescent="0.25">
      <c r="A32" s="3">
        <v>22453563</v>
      </c>
      <c r="B32" s="3">
        <v>22453563</v>
      </c>
      <c r="C32" s="4">
        <v>220.85</v>
      </c>
      <c r="D32" s="5"/>
      <c r="E32" s="5"/>
      <c r="F32" s="5"/>
    </row>
    <row r="33" spans="1:6" x14ac:dyDescent="0.25">
      <c r="A33" s="3">
        <v>22721301</v>
      </c>
      <c r="B33" s="3">
        <v>22721301</v>
      </c>
      <c r="C33" s="4">
        <v>215.43600000000001</v>
      </c>
      <c r="D33" s="5"/>
      <c r="E33" s="5"/>
      <c r="F33" s="5"/>
    </row>
    <row r="34" spans="1:6" x14ac:dyDescent="0.25">
      <c r="A34" s="3">
        <v>22721301</v>
      </c>
      <c r="B34" s="3">
        <v>22721301</v>
      </c>
      <c r="C34" s="4">
        <v>214.76410000000001</v>
      </c>
      <c r="D34" s="5"/>
      <c r="E34" s="5"/>
      <c r="F34" s="5"/>
    </row>
    <row r="35" spans="1:6" x14ac:dyDescent="0.25">
      <c r="A35" s="3">
        <v>22721301</v>
      </c>
      <c r="B35" s="3">
        <v>22721301</v>
      </c>
      <c r="C35" s="4">
        <v>221.98009999999999</v>
      </c>
      <c r="D35" s="5"/>
      <c r="E35" s="5"/>
      <c r="F35" s="5"/>
    </row>
    <row r="36" spans="1:6" x14ac:dyDescent="0.25">
      <c r="A36" s="3">
        <v>22376078</v>
      </c>
      <c r="B36" s="3">
        <v>22376078</v>
      </c>
      <c r="C36" s="4">
        <v>218.328</v>
      </c>
      <c r="D36" s="5"/>
      <c r="E36" s="5"/>
      <c r="F36" s="5"/>
    </row>
    <row r="37" spans="1:6" x14ac:dyDescent="0.25">
      <c r="A37" s="3">
        <v>22376078</v>
      </c>
      <c r="B37" s="3">
        <v>22376078</v>
      </c>
      <c r="C37" s="4">
        <v>225.53899999999999</v>
      </c>
      <c r="D37" s="5"/>
      <c r="E37" s="5"/>
      <c r="F37" s="5"/>
    </row>
    <row r="38" spans="1:6" x14ac:dyDescent="0.25">
      <c r="A38" s="3">
        <v>22376078</v>
      </c>
      <c r="B38" s="3">
        <v>22376078</v>
      </c>
      <c r="C38" s="4">
        <v>211.0078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C000"/>
  </sheetPr>
  <dimension ref="A1:F39"/>
  <sheetViews>
    <sheetView zoomScaleNormal="100" workbookViewId="0">
      <selection activeCell="I29" sqref="I29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8" t="s">
        <v>23</v>
      </c>
      <c r="B1" s="8"/>
      <c r="C1" s="8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SUBTOTAL(101,merge10[comparações])</f>
        <v>116473.5</v>
      </c>
      <c r="E2" s="6">
        <f>SUBTOTAL(101,merge10[trocas])</f>
        <v>116473.5</v>
      </c>
      <c r="F2" s="6">
        <f>SUBTOTAL(101,merge10[tempo (ms)])</f>
        <v>2.3306800000000001</v>
      </c>
    </row>
    <row r="3" spans="1:6" x14ac:dyDescent="0.25">
      <c r="A3" s="3">
        <v>116565</v>
      </c>
      <c r="B3" s="3">
        <v>116565</v>
      </c>
      <c r="C3" s="4">
        <v>2.5680000000000001</v>
      </c>
      <c r="D3" s="5"/>
      <c r="E3" s="5"/>
      <c r="F3" s="5"/>
    </row>
    <row r="4" spans="1:6" x14ac:dyDescent="0.25">
      <c r="A4" s="3">
        <v>116565</v>
      </c>
      <c r="B4" s="3">
        <v>116565</v>
      </c>
      <c r="C4" s="4">
        <v>2.0981000000000001</v>
      </c>
      <c r="D4" s="5"/>
      <c r="E4" s="5"/>
      <c r="F4" s="5"/>
    </row>
    <row r="5" spans="1:6" x14ac:dyDescent="0.25">
      <c r="A5" s="3">
        <v>116565</v>
      </c>
      <c r="B5" s="3">
        <v>116565</v>
      </c>
      <c r="C5" s="4">
        <v>2.6309</v>
      </c>
      <c r="D5" s="5"/>
      <c r="E5" s="5"/>
      <c r="F5" s="5"/>
    </row>
    <row r="6" spans="1:6" x14ac:dyDescent="0.25">
      <c r="A6" s="3">
        <v>116565</v>
      </c>
      <c r="B6" s="3">
        <v>116565</v>
      </c>
      <c r="C6" s="4">
        <v>2.758</v>
      </c>
      <c r="D6" s="5"/>
      <c r="E6" s="5"/>
      <c r="F6" s="5"/>
    </row>
    <row r="7" spans="1:6" x14ac:dyDescent="0.25">
      <c r="A7" s="3">
        <v>116565</v>
      </c>
      <c r="B7" s="3">
        <v>116565</v>
      </c>
      <c r="C7" s="4">
        <v>2.5539000000000001</v>
      </c>
      <c r="D7" s="5"/>
      <c r="E7" s="5"/>
      <c r="F7" s="5"/>
    </row>
    <row r="8" spans="1:6" x14ac:dyDescent="0.25">
      <c r="A8" s="3">
        <v>116382</v>
      </c>
      <c r="B8" s="3">
        <v>116382</v>
      </c>
      <c r="C8" s="4">
        <v>2.0861999999999998</v>
      </c>
      <c r="D8" s="5"/>
      <c r="E8" s="5"/>
      <c r="F8" s="5"/>
    </row>
    <row r="9" spans="1:6" x14ac:dyDescent="0.25">
      <c r="A9" s="3">
        <v>116382</v>
      </c>
      <c r="B9" s="3">
        <v>116382</v>
      </c>
      <c r="C9" s="4">
        <v>2.1438999999999999</v>
      </c>
      <c r="D9" s="5"/>
      <c r="E9" s="5"/>
      <c r="F9" s="5"/>
    </row>
    <row r="10" spans="1:6" x14ac:dyDescent="0.25">
      <c r="A10" s="3">
        <v>116382</v>
      </c>
      <c r="B10" s="3">
        <v>116382</v>
      </c>
      <c r="C10" s="4">
        <v>2.0350999999999999</v>
      </c>
      <c r="D10" s="5"/>
      <c r="E10" s="5"/>
      <c r="F10" s="5"/>
    </row>
    <row r="11" spans="1:6" x14ac:dyDescent="0.25">
      <c r="A11" s="3">
        <v>116382</v>
      </c>
      <c r="B11" s="3">
        <v>116382</v>
      </c>
      <c r="C11" s="4">
        <v>2.0558999999999998</v>
      </c>
      <c r="D11" s="5"/>
      <c r="E11" s="5"/>
      <c r="F11" s="5"/>
    </row>
    <row r="12" spans="1:6" x14ac:dyDescent="0.25">
      <c r="A12" s="3">
        <v>116382</v>
      </c>
      <c r="B12" s="3">
        <v>116382</v>
      </c>
      <c r="C12" s="4">
        <v>2.3767999999999998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8" t="s">
        <v>24</v>
      </c>
      <c r="B14" s="8"/>
      <c r="C14" s="8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SUBTOTAL(101,quick10[comparações])</f>
        <v>28452.799999999999</v>
      </c>
      <c r="E15" s="6">
        <f>SUBTOTAL(101,quick10[trocas])</f>
        <v>54714.3</v>
      </c>
      <c r="F15" s="6">
        <f>SUBTOTAL(101,quick10[tempo (ms)])</f>
        <v>1.1559699999999999</v>
      </c>
    </row>
    <row r="16" spans="1:6" x14ac:dyDescent="0.25">
      <c r="A16" s="3">
        <v>29150</v>
      </c>
      <c r="B16" s="3">
        <v>54533</v>
      </c>
      <c r="C16" s="4">
        <v>1.0419</v>
      </c>
      <c r="D16" s="5"/>
      <c r="E16" s="5"/>
      <c r="F16" s="5"/>
    </row>
    <row r="17" spans="1:6" x14ac:dyDescent="0.25">
      <c r="A17" s="3">
        <v>29150</v>
      </c>
      <c r="B17" s="3">
        <v>54533</v>
      </c>
      <c r="C17" s="4">
        <v>1.018</v>
      </c>
      <c r="D17" s="5"/>
      <c r="E17" s="5"/>
      <c r="F17" s="5"/>
    </row>
    <row r="18" spans="1:6" x14ac:dyDescent="0.25">
      <c r="A18" s="3">
        <v>29150</v>
      </c>
      <c r="B18" s="3">
        <v>54533</v>
      </c>
      <c r="C18" s="4">
        <v>1.04</v>
      </c>
      <c r="D18" s="5"/>
      <c r="E18" s="5"/>
      <c r="F18" s="5"/>
    </row>
    <row r="19" spans="1:6" x14ac:dyDescent="0.25">
      <c r="A19" s="3">
        <v>28154</v>
      </c>
      <c r="B19" s="3">
        <v>54792</v>
      </c>
      <c r="C19" s="4">
        <v>0.98709999999999998</v>
      </c>
      <c r="D19" s="5"/>
      <c r="E19" s="5"/>
      <c r="F19" s="5"/>
    </row>
    <row r="20" spans="1:6" x14ac:dyDescent="0.25">
      <c r="A20" s="3">
        <v>28154</v>
      </c>
      <c r="B20" s="3">
        <v>54792</v>
      </c>
      <c r="C20" s="4">
        <v>1.0530999999999999</v>
      </c>
      <c r="D20" s="5"/>
      <c r="E20" s="5"/>
      <c r="F20" s="5"/>
    </row>
    <row r="21" spans="1:6" x14ac:dyDescent="0.25">
      <c r="A21" s="3">
        <v>28154</v>
      </c>
      <c r="B21" s="3">
        <v>54792</v>
      </c>
      <c r="C21" s="4">
        <v>1.4069</v>
      </c>
      <c r="D21" s="5"/>
      <c r="E21" s="5"/>
      <c r="F21" s="5"/>
    </row>
    <row r="22" spans="1:6" x14ac:dyDescent="0.25">
      <c r="A22" s="3">
        <v>28154</v>
      </c>
      <c r="B22" s="3">
        <v>54792</v>
      </c>
      <c r="C22" s="4">
        <v>1.3858999999999999</v>
      </c>
      <c r="D22" s="5"/>
      <c r="E22" s="5"/>
      <c r="F22" s="5"/>
    </row>
    <row r="23" spans="1:6" x14ac:dyDescent="0.25">
      <c r="A23" s="3">
        <v>28154</v>
      </c>
      <c r="B23" s="3">
        <v>54792</v>
      </c>
      <c r="C23" s="4">
        <v>0.97389999999999999</v>
      </c>
      <c r="D23" s="5"/>
      <c r="E23" s="5"/>
      <c r="F23" s="5"/>
    </row>
    <row r="24" spans="1:6" x14ac:dyDescent="0.25">
      <c r="A24" s="3">
        <v>28154</v>
      </c>
      <c r="B24" s="3">
        <v>54792</v>
      </c>
      <c r="C24" s="4">
        <v>1.2669999999999999</v>
      </c>
      <c r="D24" s="5"/>
      <c r="E24" s="5"/>
      <c r="F24" s="5"/>
    </row>
    <row r="25" spans="1:6" x14ac:dyDescent="0.25">
      <c r="A25" s="3">
        <v>28154</v>
      </c>
      <c r="B25" s="3">
        <v>54792</v>
      </c>
      <c r="C25" s="4">
        <v>1.3858999999999999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8" t="s">
        <v>25</v>
      </c>
      <c r="B27" s="8"/>
      <c r="C27" s="8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SUBTOTAL(101,selection10[comparações])</f>
        <v>19382</v>
      </c>
      <c r="E28" s="6">
        <f>SUBTOTAL(101,selection10[trocas])</f>
        <v>9023.5</v>
      </c>
      <c r="F28" s="6">
        <f>SUBTOTAL(101,selection10[tempo (ms)])</f>
        <v>116.29857999999999</v>
      </c>
    </row>
    <row r="29" spans="1:6" x14ac:dyDescent="0.25">
      <c r="A29" s="3">
        <v>19229</v>
      </c>
      <c r="B29" s="3">
        <v>9013</v>
      </c>
      <c r="C29" s="4">
        <v>118.196</v>
      </c>
      <c r="D29" s="5"/>
      <c r="E29" s="5"/>
      <c r="F29" s="5"/>
    </row>
    <row r="30" spans="1:6" x14ac:dyDescent="0.25">
      <c r="A30" s="3">
        <v>19414</v>
      </c>
      <c r="B30" s="3">
        <v>9023</v>
      </c>
      <c r="C30" s="4">
        <v>124.55110000000001</v>
      </c>
      <c r="D30" s="5"/>
      <c r="E30" s="5"/>
      <c r="F30" s="5"/>
    </row>
    <row r="31" spans="1:6" x14ac:dyDescent="0.25">
      <c r="A31" s="3">
        <v>19414</v>
      </c>
      <c r="B31" s="3">
        <v>9023</v>
      </c>
      <c r="C31" s="4">
        <v>126.1039</v>
      </c>
      <c r="D31" s="5"/>
      <c r="E31" s="5"/>
      <c r="F31" s="5"/>
    </row>
    <row r="32" spans="1:6" x14ac:dyDescent="0.25">
      <c r="A32" s="3">
        <v>19414</v>
      </c>
      <c r="B32" s="3">
        <v>9023</v>
      </c>
      <c r="C32" s="4">
        <v>119.9601</v>
      </c>
      <c r="D32" s="5"/>
      <c r="E32" s="5"/>
      <c r="F32" s="5"/>
    </row>
    <row r="33" spans="1:6" x14ac:dyDescent="0.25">
      <c r="A33" s="3">
        <v>19414</v>
      </c>
      <c r="B33" s="3">
        <v>9023</v>
      </c>
      <c r="C33" s="4">
        <v>110.961</v>
      </c>
      <c r="D33" s="5"/>
      <c r="E33" s="5"/>
      <c r="F33" s="5"/>
    </row>
    <row r="34" spans="1:6" x14ac:dyDescent="0.25">
      <c r="A34" s="3">
        <v>19387</v>
      </c>
      <c r="B34" s="3">
        <v>9026</v>
      </c>
      <c r="C34" s="4">
        <v>112.7448</v>
      </c>
      <c r="D34" s="5"/>
      <c r="E34" s="5"/>
      <c r="F34" s="5"/>
    </row>
    <row r="35" spans="1:6" x14ac:dyDescent="0.25">
      <c r="A35" s="3">
        <v>19387</v>
      </c>
      <c r="B35" s="3">
        <v>9026</v>
      </c>
      <c r="C35" s="4">
        <v>111.532</v>
      </c>
      <c r="D35" s="5"/>
      <c r="E35" s="5"/>
      <c r="F35" s="5"/>
    </row>
    <row r="36" spans="1:6" x14ac:dyDescent="0.25">
      <c r="A36" s="3">
        <v>19387</v>
      </c>
      <c r="B36" s="3">
        <v>9026</v>
      </c>
      <c r="C36" s="4">
        <v>112.01600000000001</v>
      </c>
      <c r="D36" s="5"/>
      <c r="E36" s="5"/>
      <c r="F36" s="5"/>
    </row>
    <row r="37" spans="1:6" x14ac:dyDescent="0.25">
      <c r="A37" s="3">
        <v>19387</v>
      </c>
      <c r="B37" s="3">
        <v>9026</v>
      </c>
      <c r="C37" s="4">
        <v>111.187</v>
      </c>
      <c r="D37" s="5"/>
      <c r="E37" s="5"/>
      <c r="F37" s="5"/>
    </row>
    <row r="38" spans="1:6" x14ac:dyDescent="0.25">
      <c r="A38" s="3">
        <v>19387</v>
      </c>
      <c r="B38" s="3">
        <v>9026</v>
      </c>
      <c r="C38" s="4">
        <v>115.73390000000001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A1:F39"/>
  <sheetViews>
    <sheetView zoomScaleNormal="100" workbookViewId="0">
      <selection activeCell="I11" sqref="I11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9" t="s">
        <v>17</v>
      </c>
      <c r="B1" s="9"/>
      <c r="C1" s="9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SUBTOTAL(101,bubble20_[comparações])</f>
        <v>90171139.099999994</v>
      </c>
      <c r="E2" s="6">
        <f>SUBTOTAL(101,bubble20_[trocas])</f>
        <v>90171139.099999994</v>
      </c>
      <c r="F2" s="6">
        <f>SUBTOTAL(101,bubble20_[tempo (ms)])</f>
        <v>1869.3245099999997</v>
      </c>
    </row>
    <row r="3" spans="1:6" x14ac:dyDescent="0.25">
      <c r="A3" s="3">
        <v>90490289</v>
      </c>
      <c r="B3" s="3">
        <v>90490289</v>
      </c>
      <c r="C3" s="4">
        <v>1898.0391</v>
      </c>
      <c r="D3" s="5"/>
      <c r="E3" s="5"/>
      <c r="F3" s="5"/>
    </row>
    <row r="4" spans="1:6" x14ac:dyDescent="0.25">
      <c r="A4" s="3">
        <v>89767828</v>
      </c>
      <c r="B4" s="3">
        <v>89767828</v>
      </c>
      <c r="C4" s="4">
        <v>1858.49</v>
      </c>
      <c r="D4" s="5"/>
      <c r="E4" s="5"/>
      <c r="F4" s="5"/>
    </row>
    <row r="5" spans="1:6" x14ac:dyDescent="0.25">
      <c r="A5" s="3">
        <v>89783272</v>
      </c>
      <c r="B5" s="3">
        <v>89783272</v>
      </c>
      <c r="C5" s="4">
        <v>1855.3087</v>
      </c>
      <c r="D5" s="5"/>
      <c r="E5" s="5"/>
      <c r="F5" s="5"/>
    </row>
    <row r="6" spans="1:6" x14ac:dyDescent="0.25">
      <c r="A6" s="3">
        <v>90413694</v>
      </c>
      <c r="B6" s="3">
        <v>90413694</v>
      </c>
      <c r="C6" s="4">
        <v>1874.6850999999999</v>
      </c>
      <c r="D6" s="5"/>
      <c r="E6" s="5"/>
      <c r="F6" s="5"/>
    </row>
    <row r="7" spans="1:6" x14ac:dyDescent="0.25">
      <c r="A7" s="3">
        <v>89992799</v>
      </c>
      <c r="B7" s="3">
        <v>89992799</v>
      </c>
      <c r="C7" s="4">
        <v>1872.5410999999999</v>
      </c>
      <c r="D7" s="5"/>
      <c r="E7" s="5"/>
      <c r="F7" s="5"/>
    </row>
    <row r="8" spans="1:6" x14ac:dyDescent="0.25">
      <c r="A8" s="3">
        <v>89913969</v>
      </c>
      <c r="B8" s="3">
        <v>89913969</v>
      </c>
      <c r="C8" s="4">
        <v>1861.6859999999999</v>
      </c>
      <c r="D8" s="5"/>
      <c r="E8" s="5"/>
      <c r="F8" s="5"/>
    </row>
    <row r="9" spans="1:6" x14ac:dyDescent="0.25">
      <c r="A9" s="3">
        <v>90283065</v>
      </c>
      <c r="B9" s="3">
        <v>90283065</v>
      </c>
      <c r="C9" s="4">
        <v>1870.4799</v>
      </c>
      <c r="D9" s="5"/>
      <c r="E9" s="5"/>
      <c r="F9" s="5"/>
    </row>
    <row r="10" spans="1:6" x14ac:dyDescent="0.25">
      <c r="A10" s="3">
        <v>89651131</v>
      </c>
      <c r="B10" s="3">
        <v>89651131</v>
      </c>
      <c r="C10" s="4">
        <v>1870.2941000000001</v>
      </c>
      <c r="D10" s="5"/>
      <c r="E10" s="5"/>
      <c r="F10" s="5"/>
    </row>
    <row r="11" spans="1:6" x14ac:dyDescent="0.25">
      <c r="A11" s="3">
        <v>90634621</v>
      </c>
      <c r="B11" s="3">
        <v>90634621</v>
      </c>
      <c r="C11" s="4">
        <v>1862.3330000000001</v>
      </c>
      <c r="D11" s="5"/>
      <c r="E11" s="5"/>
      <c r="F11" s="5"/>
    </row>
    <row r="12" spans="1:6" x14ac:dyDescent="0.25">
      <c r="A12" s="3">
        <v>90780723</v>
      </c>
      <c r="B12" s="3">
        <v>90780723</v>
      </c>
      <c r="C12" s="4">
        <v>1869.3880999999999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9" t="s">
        <v>20</v>
      </c>
      <c r="B14" s="9"/>
      <c r="C14" s="9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SUBTOTAL(101,heap20[comparações])</f>
        <v>309796.2</v>
      </c>
      <c r="E15" s="6">
        <f>SUBTOTAL(101,heap20[trocas])</f>
        <v>243278.6</v>
      </c>
      <c r="F15" s="6">
        <f>SUBTOTAL(101,heap20[tempo (ms)])</f>
        <v>6.4082499999999998</v>
      </c>
    </row>
    <row r="16" spans="1:6" x14ac:dyDescent="0.25">
      <c r="A16" s="3">
        <v>309741</v>
      </c>
      <c r="B16" s="3">
        <v>243305</v>
      </c>
      <c r="C16" s="4">
        <v>5.9919000000000002</v>
      </c>
      <c r="D16" s="5"/>
      <c r="E16" s="5"/>
      <c r="F16" s="5"/>
    </row>
    <row r="17" spans="1:6" x14ac:dyDescent="0.25">
      <c r="A17" s="3">
        <v>309741</v>
      </c>
      <c r="B17" s="3">
        <v>243305</v>
      </c>
      <c r="C17" s="4">
        <v>6.2358000000000002</v>
      </c>
      <c r="D17" s="5"/>
      <c r="E17" s="5"/>
      <c r="F17" s="5"/>
    </row>
    <row r="18" spans="1:6" x14ac:dyDescent="0.25">
      <c r="A18" s="3">
        <v>309741</v>
      </c>
      <c r="B18" s="3">
        <v>243305</v>
      </c>
      <c r="C18" s="4">
        <v>6.1040000000000001</v>
      </c>
      <c r="D18" s="5"/>
      <c r="E18" s="5"/>
      <c r="F18" s="5"/>
    </row>
    <row r="19" spans="1:6" x14ac:dyDescent="0.25">
      <c r="A19" s="3">
        <v>309741</v>
      </c>
      <c r="B19" s="3">
        <v>243305</v>
      </c>
      <c r="C19" s="4">
        <v>6.3479000000000001</v>
      </c>
      <c r="D19" s="5"/>
      <c r="E19" s="5"/>
      <c r="F19" s="5"/>
    </row>
    <row r="20" spans="1:6" x14ac:dyDescent="0.25">
      <c r="A20" s="3">
        <v>309833</v>
      </c>
      <c r="B20" s="3">
        <v>243261</v>
      </c>
      <c r="C20" s="4">
        <v>6.1029999999999998</v>
      </c>
      <c r="D20" s="5"/>
      <c r="E20" s="5"/>
      <c r="F20" s="5"/>
    </row>
    <row r="21" spans="1:6" x14ac:dyDescent="0.25">
      <c r="A21" s="3">
        <v>309833</v>
      </c>
      <c r="B21" s="3">
        <v>243261</v>
      </c>
      <c r="C21" s="4">
        <v>7.3198999999999996</v>
      </c>
      <c r="D21" s="5"/>
      <c r="E21" s="5"/>
      <c r="F21" s="5"/>
    </row>
    <row r="22" spans="1:6" x14ac:dyDescent="0.25">
      <c r="A22" s="3">
        <v>309833</v>
      </c>
      <c r="B22" s="3">
        <v>243261</v>
      </c>
      <c r="C22" s="4">
        <v>6</v>
      </c>
      <c r="D22" s="5"/>
      <c r="E22" s="5"/>
      <c r="F22" s="5"/>
    </row>
    <row r="23" spans="1:6" x14ac:dyDescent="0.25">
      <c r="A23" s="3">
        <v>309833</v>
      </c>
      <c r="B23" s="3">
        <v>243261</v>
      </c>
      <c r="C23" s="4">
        <v>6.2060000000000004</v>
      </c>
      <c r="D23" s="5"/>
      <c r="E23" s="5"/>
      <c r="F23" s="5"/>
    </row>
    <row r="24" spans="1:6" x14ac:dyDescent="0.25">
      <c r="A24" s="3">
        <v>309833</v>
      </c>
      <c r="B24" s="3">
        <v>243261</v>
      </c>
      <c r="C24" s="4">
        <v>6.1870000000000003</v>
      </c>
      <c r="D24" s="5"/>
      <c r="E24" s="5"/>
      <c r="F24" s="5"/>
    </row>
    <row r="25" spans="1:6" x14ac:dyDescent="0.25">
      <c r="A25" s="3">
        <v>309833</v>
      </c>
      <c r="B25" s="3">
        <v>243261</v>
      </c>
      <c r="C25" s="4">
        <v>7.5869999999999997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9" t="s">
        <v>21</v>
      </c>
      <c r="B27" s="9"/>
      <c r="C27" s="9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SUBTOTAL(101,insertion20[comparações])</f>
        <v>90025660.200000003</v>
      </c>
      <c r="E28" s="6">
        <f>SUBTOTAL(101,insertion20[trocas])</f>
        <v>90025660.200000003</v>
      </c>
      <c r="F28" s="6">
        <f>SUBTOTAL(101,insertion20[tempo (ms)])</f>
        <v>814.79431</v>
      </c>
    </row>
    <row r="29" spans="1:6" x14ac:dyDescent="0.25">
      <c r="A29" s="3">
        <v>90025041</v>
      </c>
      <c r="B29" s="3">
        <v>90025041</v>
      </c>
      <c r="C29" s="4">
        <v>832.15409999999997</v>
      </c>
      <c r="D29" s="5"/>
      <c r="E29" s="5"/>
      <c r="F29" s="5"/>
    </row>
    <row r="30" spans="1:6" x14ac:dyDescent="0.25">
      <c r="A30" s="3">
        <v>89863769</v>
      </c>
      <c r="B30" s="3">
        <v>89863769</v>
      </c>
      <c r="C30" s="4">
        <v>810.13800000000003</v>
      </c>
      <c r="D30" s="5"/>
      <c r="E30" s="5"/>
      <c r="F30" s="5"/>
    </row>
    <row r="31" spans="1:6" x14ac:dyDescent="0.25">
      <c r="A31" s="3">
        <v>90379697</v>
      </c>
      <c r="B31" s="3">
        <v>90379697</v>
      </c>
      <c r="C31" s="4">
        <v>816.31209999999999</v>
      </c>
      <c r="D31" s="5"/>
      <c r="E31" s="5"/>
      <c r="F31" s="5"/>
    </row>
    <row r="32" spans="1:6" x14ac:dyDescent="0.25">
      <c r="A32" s="3">
        <v>89616689</v>
      </c>
      <c r="B32" s="3">
        <v>89616689</v>
      </c>
      <c r="C32" s="4">
        <v>807.17110000000002</v>
      </c>
      <c r="D32" s="5"/>
      <c r="E32" s="5"/>
      <c r="F32" s="5"/>
    </row>
    <row r="33" spans="1:6" x14ac:dyDescent="0.25">
      <c r="A33" s="3">
        <v>90229258</v>
      </c>
      <c r="B33" s="3">
        <v>90229258</v>
      </c>
      <c r="C33" s="4">
        <v>815.09280000000001</v>
      </c>
      <c r="D33" s="5"/>
      <c r="E33" s="5"/>
      <c r="F33" s="5"/>
    </row>
    <row r="34" spans="1:6" x14ac:dyDescent="0.25">
      <c r="A34" s="3">
        <v>90707511</v>
      </c>
      <c r="B34" s="3">
        <v>90707511</v>
      </c>
      <c r="C34" s="4">
        <v>822.61080000000004</v>
      </c>
      <c r="D34" s="5"/>
      <c r="E34" s="5"/>
      <c r="F34" s="5"/>
    </row>
    <row r="35" spans="1:6" x14ac:dyDescent="0.25">
      <c r="A35" s="3">
        <v>89983388</v>
      </c>
      <c r="B35" s="3">
        <v>89983388</v>
      </c>
      <c r="C35" s="4">
        <v>813.94410000000005</v>
      </c>
      <c r="D35" s="5"/>
      <c r="E35" s="5"/>
      <c r="F35" s="5"/>
    </row>
    <row r="36" spans="1:6" x14ac:dyDescent="0.25">
      <c r="A36" s="3">
        <v>89526035</v>
      </c>
      <c r="B36" s="3">
        <v>89526035</v>
      </c>
      <c r="C36" s="4">
        <v>805.20820000000003</v>
      </c>
      <c r="D36" s="5"/>
      <c r="E36" s="5"/>
      <c r="F36" s="5"/>
    </row>
    <row r="37" spans="1:6" x14ac:dyDescent="0.25">
      <c r="A37" s="3">
        <v>90371138</v>
      </c>
      <c r="B37" s="3">
        <v>90371138</v>
      </c>
      <c r="C37" s="4">
        <v>816.4008</v>
      </c>
      <c r="D37" s="5"/>
      <c r="E37" s="5"/>
      <c r="F37" s="5"/>
    </row>
    <row r="38" spans="1:6" x14ac:dyDescent="0.25">
      <c r="A38" s="3">
        <v>89554076</v>
      </c>
      <c r="B38" s="3">
        <v>89554076</v>
      </c>
      <c r="C38" s="4">
        <v>808.91110000000003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rgb="FF00B0F0"/>
  </sheetPr>
  <dimension ref="A1:F39"/>
  <sheetViews>
    <sheetView zoomScaleNormal="100" workbookViewId="0">
      <selection activeCell="A29" sqref="A29:C38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9" t="s">
        <v>23</v>
      </c>
      <c r="B1" s="9"/>
      <c r="C1" s="9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SUBTOTAL(101,merge20[comparações])</f>
        <v>252198.5</v>
      </c>
      <c r="E2" s="6">
        <f>SUBTOTAL(101,merge20[trocas])</f>
        <v>252198.5</v>
      </c>
      <c r="F2" s="6">
        <f>SUBTOTAL(101,merge20[tempo (ms)])</f>
        <v>4.6753799999999996</v>
      </c>
    </row>
    <row r="3" spans="1:6" x14ac:dyDescent="0.25">
      <c r="A3" s="3">
        <v>251803</v>
      </c>
      <c r="B3" s="3">
        <v>251803</v>
      </c>
      <c r="C3" s="4">
        <v>4.3060999999999998</v>
      </c>
      <c r="D3" s="5"/>
      <c r="E3" s="5"/>
      <c r="F3" s="5"/>
    </row>
    <row r="4" spans="1:6" x14ac:dyDescent="0.25">
      <c r="A4" s="3">
        <v>252265</v>
      </c>
      <c r="B4" s="3">
        <v>252265</v>
      </c>
      <c r="C4" s="4">
        <v>4.2961</v>
      </c>
      <c r="D4" s="5"/>
      <c r="E4" s="5"/>
      <c r="F4" s="5"/>
    </row>
    <row r="5" spans="1:6" x14ac:dyDescent="0.25">
      <c r="A5" s="3">
        <v>252265</v>
      </c>
      <c r="B5" s="3">
        <v>252265</v>
      </c>
      <c r="C5" s="4">
        <v>4.3230000000000004</v>
      </c>
      <c r="D5" s="5"/>
      <c r="E5" s="5"/>
      <c r="F5" s="5"/>
    </row>
    <row r="6" spans="1:6" x14ac:dyDescent="0.25">
      <c r="A6" s="3">
        <v>252265</v>
      </c>
      <c r="B6" s="3">
        <v>252265</v>
      </c>
      <c r="C6" s="4">
        <v>5.6870000000000003</v>
      </c>
      <c r="D6" s="5"/>
      <c r="E6" s="5"/>
      <c r="F6" s="5"/>
    </row>
    <row r="7" spans="1:6" x14ac:dyDescent="0.25">
      <c r="A7" s="3">
        <v>252265</v>
      </c>
      <c r="B7" s="3">
        <v>252265</v>
      </c>
      <c r="C7" s="4">
        <v>5.3438999999999997</v>
      </c>
      <c r="D7" s="5"/>
      <c r="E7" s="5"/>
      <c r="F7" s="5"/>
    </row>
    <row r="8" spans="1:6" x14ac:dyDescent="0.25">
      <c r="A8" s="3">
        <v>252265</v>
      </c>
      <c r="B8" s="3">
        <v>252265</v>
      </c>
      <c r="C8" s="4">
        <v>4.2229000000000001</v>
      </c>
      <c r="D8" s="5"/>
      <c r="E8" s="5"/>
      <c r="F8" s="5"/>
    </row>
    <row r="9" spans="1:6" x14ac:dyDescent="0.25">
      <c r="A9" s="3">
        <v>252265</v>
      </c>
      <c r="B9" s="3">
        <v>252265</v>
      </c>
      <c r="C9" s="4">
        <v>4.53</v>
      </c>
      <c r="D9" s="5"/>
      <c r="E9" s="5"/>
      <c r="F9" s="5"/>
    </row>
    <row r="10" spans="1:6" x14ac:dyDescent="0.25">
      <c r="A10" s="3">
        <v>252265</v>
      </c>
      <c r="B10" s="3">
        <v>252265</v>
      </c>
      <c r="C10" s="4">
        <v>4.2129000000000003</v>
      </c>
      <c r="D10" s="5"/>
      <c r="E10" s="5"/>
      <c r="F10" s="5"/>
    </row>
    <row r="11" spans="1:6" x14ac:dyDescent="0.25">
      <c r="A11" s="3">
        <v>252265</v>
      </c>
      <c r="B11" s="3">
        <v>252265</v>
      </c>
      <c r="C11" s="4">
        <v>4.2538999999999998</v>
      </c>
      <c r="D11" s="5"/>
      <c r="E11" s="5"/>
      <c r="F11" s="5"/>
    </row>
    <row r="12" spans="1:6" x14ac:dyDescent="0.25">
      <c r="A12" s="3">
        <v>252062</v>
      </c>
      <c r="B12" s="3">
        <v>252062</v>
      </c>
      <c r="C12" s="4">
        <v>5.5780000000000003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9" t="s">
        <v>24</v>
      </c>
      <c r="B14" s="9"/>
      <c r="C14" s="9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SUBTOTAL(101,quick20[comparações])</f>
        <v>51680.7</v>
      </c>
      <c r="E15" s="6">
        <f>SUBTOTAL(101,quick20[trocas])</f>
        <v>119600.2</v>
      </c>
      <c r="F15" s="6">
        <f>SUBTOTAL(101,quick20[tempo (ms)])</f>
        <v>2.0969100000000003</v>
      </c>
    </row>
    <row r="16" spans="1:6" x14ac:dyDescent="0.25">
      <c r="A16" s="3">
        <v>50014</v>
      </c>
      <c r="B16" s="3">
        <v>120331</v>
      </c>
      <c r="C16" s="4">
        <v>2.0861999999999998</v>
      </c>
      <c r="D16" s="5"/>
      <c r="E16" s="5"/>
      <c r="F16" s="5"/>
    </row>
    <row r="17" spans="1:6" x14ac:dyDescent="0.25">
      <c r="A17" s="3">
        <v>50014</v>
      </c>
      <c r="B17" s="3">
        <v>120331</v>
      </c>
      <c r="C17" s="4">
        <v>2.1191</v>
      </c>
      <c r="D17" s="5"/>
      <c r="E17" s="5"/>
      <c r="F17" s="5"/>
    </row>
    <row r="18" spans="1:6" x14ac:dyDescent="0.25">
      <c r="A18" s="3">
        <v>50014</v>
      </c>
      <c r="B18" s="3">
        <v>120331</v>
      </c>
      <c r="C18" s="4">
        <v>2.0901999999999998</v>
      </c>
      <c r="D18" s="5"/>
      <c r="E18" s="5"/>
      <c r="F18" s="5"/>
    </row>
    <row r="19" spans="1:6" x14ac:dyDescent="0.25">
      <c r="A19" s="3">
        <v>52395</v>
      </c>
      <c r="B19" s="3">
        <v>119287</v>
      </c>
      <c r="C19" s="4">
        <v>2.0752000000000002</v>
      </c>
      <c r="D19" s="5"/>
      <c r="E19" s="5"/>
      <c r="F19" s="5"/>
    </row>
    <row r="20" spans="1:6" x14ac:dyDescent="0.25">
      <c r="A20" s="3">
        <v>52395</v>
      </c>
      <c r="B20" s="3">
        <v>119287</v>
      </c>
      <c r="C20" s="4">
        <v>2.0958999999999999</v>
      </c>
      <c r="D20" s="5"/>
      <c r="E20" s="5"/>
      <c r="F20" s="5"/>
    </row>
    <row r="21" spans="1:6" x14ac:dyDescent="0.25">
      <c r="A21" s="3">
        <v>52395</v>
      </c>
      <c r="B21" s="3">
        <v>119287</v>
      </c>
      <c r="C21" s="4">
        <v>2.1112000000000002</v>
      </c>
      <c r="D21" s="5"/>
      <c r="E21" s="5"/>
      <c r="F21" s="5"/>
    </row>
    <row r="22" spans="1:6" x14ac:dyDescent="0.25">
      <c r="A22" s="3">
        <v>52395</v>
      </c>
      <c r="B22" s="3">
        <v>119287</v>
      </c>
      <c r="C22" s="4">
        <v>2.1191</v>
      </c>
      <c r="D22" s="5"/>
      <c r="E22" s="5"/>
      <c r="F22" s="5"/>
    </row>
    <row r="23" spans="1:6" x14ac:dyDescent="0.25">
      <c r="A23" s="3">
        <v>52395</v>
      </c>
      <c r="B23" s="3">
        <v>119287</v>
      </c>
      <c r="C23" s="4">
        <v>2.0699999999999998</v>
      </c>
      <c r="D23" s="5"/>
      <c r="E23" s="5"/>
      <c r="F23" s="5"/>
    </row>
    <row r="24" spans="1:6" x14ac:dyDescent="0.25">
      <c r="A24" s="3">
        <v>52395</v>
      </c>
      <c r="B24" s="3">
        <v>119287</v>
      </c>
      <c r="C24" s="4">
        <v>2.0931000000000002</v>
      </c>
      <c r="D24" s="5"/>
      <c r="E24" s="5"/>
      <c r="F24" s="5"/>
    </row>
    <row r="25" spans="1:6" x14ac:dyDescent="0.25">
      <c r="A25" s="3">
        <v>52395</v>
      </c>
      <c r="B25" s="3">
        <v>119287</v>
      </c>
      <c r="C25" s="4">
        <v>2.1091000000000002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9" t="s">
        <v>25</v>
      </c>
      <c r="B27" s="9"/>
      <c r="C27" s="9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SUBTOTAL(101,selection20[comparações])</f>
        <v>38592.300000000003</v>
      </c>
      <c r="E28" s="6">
        <f>SUBTOTAL(101,selection20[trocas])</f>
        <v>17978.400000000001</v>
      </c>
      <c r="F28" s="6">
        <f>SUBTOTAL(101,selection20[tempo (ms)])</f>
        <v>430.28166999999996</v>
      </c>
    </row>
    <row r="29" spans="1:6" x14ac:dyDescent="0.25">
      <c r="A29" s="3">
        <v>38684</v>
      </c>
      <c r="B29" s="3">
        <v>17997</v>
      </c>
      <c r="C29" s="4">
        <v>435.34609999999998</v>
      </c>
      <c r="D29" s="5"/>
      <c r="E29" s="5"/>
      <c r="F29" s="5"/>
    </row>
    <row r="30" spans="1:6" x14ac:dyDescent="0.25">
      <c r="A30" s="3">
        <v>38684</v>
      </c>
      <c r="B30" s="3">
        <v>17997</v>
      </c>
      <c r="C30" s="4">
        <v>439.36900000000003</v>
      </c>
      <c r="D30" s="5"/>
      <c r="E30" s="5"/>
      <c r="F30" s="5"/>
    </row>
    <row r="31" spans="1:6" x14ac:dyDescent="0.25">
      <c r="A31" s="3">
        <v>38578</v>
      </c>
      <c r="B31" s="3">
        <v>17933</v>
      </c>
      <c r="C31" s="4">
        <v>424.98399999999998</v>
      </c>
      <c r="D31" s="5"/>
      <c r="E31" s="5"/>
      <c r="F31" s="5"/>
    </row>
    <row r="32" spans="1:6" x14ac:dyDescent="0.25">
      <c r="A32" s="3">
        <v>38578</v>
      </c>
      <c r="B32" s="3">
        <v>17933</v>
      </c>
      <c r="C32" s="4">
        <v>428.62889999999999</v>
      </c>
      <c r="D32" s="5"/>
      <c r="E32" s="5"/>
      <c r="F32" s="5"/>
    </row>
    <row r="33" spans="1:6" x14ac:dyDescent="0.25">
      <c r="A33" s="3">
        <v>38419</v>
      </c>
      <c r="B33" s="3">
        <v>17971</v>
      </c>
      <c r="C33" s="4">
        <v>436.4939</v>
      </c>
      <c r="D33" s="5"/>
      <c r="E33" s="5"/>
      <c r="F33" s="5"/>
    </row>
    <row r="34" spans="1:6" x14ac:dyDescent="0.25">
      <c r="A34" s="3">
        <v>38419</v>
      </c>
      <c r="B34" s="3">
        <v>17971</v>
      </c>
      <c r="C34" s="4">
        <v>427.64780000000002</v>
      </c>
      <c r="D34" s="5"/>
      <c r="E34" s="5"/>
      <c r="F34" s="5"/>
    </row>
    <row r="35" spans="1:6" x14ac:dyDescent="0.25">
      <c r="A35" s="3">
        <v>38720</v>
      </c>
      <c r="B35" s="3">
        <v>17983</v>
      </c>
      <c r="C35" s="4">
        <v>427.76900000000001</v>
      </c>
      <c r="D35" s="5"/>
      <c r="E35" s="5"/>
      <c r="F35" s="5"/>
    </row>
    <row r="36" spans="1:6" x14ac:dyDescent="0.25">
      <c r="A36" s="3">
        <v>38720</v>
      </c>
      <c r="B36" s="3">
        <v>17983</v>
      </c>
      <c r="C36" s="4">
        <v>428.10489999999999</v>
      </c>
      <c r="D36" s="5"/>
      <c r="E36" s="5"/>
      <c r="F36" s="5"/>
    </row>
    <row r="37" spans="1:6" x14ac:dyDescent="0.25">
      <c r="A37" s="3">
        <v>38558</v>
      </c>
      <c r="B37" s="3">
        <v>17996</v>
      </c>
      <c r="C37" s="4">
        <v>425.52519999999998</v>
      </c>
      <c r="D37" s="5"/>
      <c r="E37" s="5"/>
      <c r="F37" s="5"/>
    </row>
    <row r="38" spans="1:6" x14ac:dyDescent="0.25">
      <c r="A38" s="3">
        <v>38563</v>
      </c>
      <c r="B38" s="3">
        <v>18020</v>
      </c>
      <c r="C38" s="4">
        <v>428.9479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rgb="FF00B0F0"/>
  </sheetPr>
  <dimension ref="A1:F39"/>
  <sheetViews>
    <sheetView zoomScaleNormal="100" workbookViewId="0">
      <selection activeCell="E26" sqref="E26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9" t="s">
        <v>17</v>
      </c>
      <c r="B1" s="9"/>
      <c r="C1" s="9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SUBTOTAL(101,bubble50_[comparações])</f>
        <v>561640393.39999998</v>
      </c>
      <c r="E2" s="6">
        <f>SUBTOTAL(101,bubble50_[trocas])</f>
        <v>561640393.39999998</v>
      </c>
      <c r="F2" s="6">
        <f>SUBTOTAL(101,bubble50_[tempo (ms)])</f>
        <v>11710.047569999999</v>
      </c>
    </row>
    <row r="3" spans="1:6" x14ac:dyDescent="0.25">
      <c r="A3" s="3">
        <v>559661284</v>
      </c>
      <c r="B3" s="3">
        <v>559661284</v>
      </c>
      <c r="C3" s="4">
        <v>11858.232400000001</v>
      </c>
      <c r="D3" s="5"/>
      <c r="E3" s="5"/>
      <c r="F3" s="5"/>
    </row>
    <row r="4" spans="1:6" x14ac:dyDescent="0.25">
      <c r="A4" s="3">
        <v>560993057</v>
      </c>
      <c r="B4" s="3">
        <v>560993057</v>
      </c>
      <c r="C4" s="4">
        <v>11747.272499999999</v>
      </c>
      <c r="D4" s="5"/>
      <c r="E4" s="5"/>
      <c r="F4" s="5"/>
    </row>
    <row r="5" spans="1:6" x14ac:dyDescent="0.25">
      <c r="A5" s="3">
        <v>561711108</v>
      </c>
      <c r="B5" s="3">
        <v>561711108</v>
      </c>
      <c r="C5" s="4">
        <v>11730.218800000001</v>
      </c>
      <c r="D5" s="5"/>
      <c r="E5" s="5"/>
      <c r="F5" s="5"/>
    </row>
    <row r="6" spans="1:6" x14ac:dyDescent="0.25">
      <c r="A6" s="3">
        <v>563259524</v>
      </c>
      <c r="B6" s="3">
        <v>563259524</v>
      </c>
      <c r="C6" s="4">
        <v>11711.757799999999</v>
      </c>
      <c r="D6" s="5"/>
      <c r="E6" s="5"/>
      <c r="F6" s="5"/>
    </row>
    <row r="7" spans="1:6" x14ac:dyDescent="0.25">
      <c r="A7" s="3">
        <v>559143570</v>
      </c>
      <c r="B7" s="3">
        <v>559143570</v>
      </c>
      <c r="C7" s="4">
        <v>11617.626</v>
      </c>
      <c r="D7" s="5"/>
      <c r="E7" s="5"/>
      <c r="F7" s="5"/>
    </row>
    <row r="8" spans="1:6" x14ac:dyDescent="0.25">
      <c r="A8" s="3">
        <v>562235537</v>
      </c>
      <c r="B8" s="3">
        <v>562235537</v>
      </c>
      <c r="C8" s="4">
        <v>11730.020500000001</v>
      </c>
      <c r="D8" s="5"/>
      <c r="E8" s="5"/>
      <c r="F8" s="5"/>
    </row>
    <row r="9" spans="1:6" x14ac:dyDescent="0.25">
      <c r="A9" s="3">
        <v>562025433</v>
      </c>
      <c r="B9" s="3">
        <v>562025433</v>
      </c>
      <c r="C9" s="4">
        <v>11597.421899999999</v>
      </c>
      <c r="D9" s="5"/>
      <c r="E9" s="5"/>
      <c r="F9" s="5"/>
    </row>
    <row r="10" spans="1:6" x14ac:dyDescent="0.25">
      <c r="A10" s="3">
        <v>562058242</v>
      </c>
      <c r="B10" s="3">
        <v>562058242</v>
      </c>
      <c r="C10" s="4">
        <v>11703.3613</v>
      </c>
      <c r="D10" s="5"/>
      <c r="E10" s="5"/>
      <c r="F10" s="5"/>
    </row>
    <row r="11" spans="1:6" x14ac:dyDescent="0.25">
      <c r="A11" s="3">
        <v>560893792</v>
      </c>
      <c r="B11" s="3">
        <v>560893792</v>
      </c>
      <c r="C11" s="4">
        <v>11802.7266</v>
      </c>
      <c r="D11" s="5"/>
      <c r="E11" s="5"/>
      <c r="F11" s="5"/>
    </row>
    <row r="12" spans="1:6" x14ac:dyDescent="0.25">
      <c r="A12" s="3">
        <v>564422387</v>
      </c>
      <c r="B12" s="3">
        <v>564422387</v>
      </c>
      <c r="C12" s="4">
        <v>11601.8379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9" t="s">
        <v>20</v>
      </c>
      <c r="B14" s="9"/>
      <c r="C14" s="9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SUBTOTAL(101,heap50[comparações])</f>
        <v>856878</v>
      </c>
      <c r="E15" s="6">
        <f>SUBTOTAL(101,heap50[trocas])</f>
        <v>665041</v>
      </c>
      <c r="F15" s="6">
        <f>SUBTOTAL(101,heap50[tempo (ms)])</f>
        <v>17.996259999999999</v>
      </c>
    </row>
    <row r="16" spans="1:6" x14ac:dyDescent="0.25">
      <c r="A16" s="3">
        <v>856082</v>
      </c>
      <c r="B16" s="3">
        <v>664417</v>
      </c>
      <c r="C16" s="4">
        <v>16.913900000000002</v>
      </c>
      <c r="D16" s="5"/>
      <c r="E16" s="5"/>
      <c r="F16" s="5"/>
    </row>
    <row r="17" spans="1:6" x14ac:dyDescent="0.25">
      <c r="A17" s="3">
        <v>856082</v>
      </c>
      <c r="B17" s="3">
        <v>664417</v>
      </c>
      <c r="C17" s="4">
        <v>19.847200000000001</v>
      </c>
      <c r="D17" s="5"/>
      <c r="E17" s="5"/>
      <c r="F17" s="5"/>
    </row>
    <row r="18" spans="1:6" x14ac:dyDescent="0.25">
      <c r="A18" s="3">
        <v>856082</v>
      </c>
      <c r="B18" s="3">
        <v>664417</v>
      </c>
      <c r="C18" s="4">
        <v>18.675999999999998</v>
      </c>
      <c r="D18" s="5"/>
      <c r="E18" s="5"/>
      <c r="F18" s="5"/>
    </row>
    <row r="19" spans="1:6" x14ac:dyDescent="0.25">
      <c r="A19" s="3">
        <v>856082</v>
      </c>
      <c r="B19" s="3">
        <v>664417</v>
      </c>
      <c r="C19" s="4">
        <v>19.7818</v>
      </c>
      <c r="D19" s="5"/>
      <c r="E19" s="5"/>
      <c r="F19" s="5"/>
    </row>
    <row r="20" spans="1:6" x14ac:dyDescent="0.25">
      <c r="A20" s="3">
        <v>856082</v>
      </c>
      <c r="B20" s="3">
        <v>664417</v>
      </c>
      <c r="C20" s="4">
        <v>18.834099999999999</v>
      </c>
      <c r="D20" s="5"/>
      <c r="E20" s="5"/>
      <c r="F20" s="5"/>
    </row>
    <row r="21" spans="1:6" x14ac:dyDescent="0.25">
      <c r="A21" s="3">
        <v>857674</v>
      </c>
      <c r="B21" s="3">
        <v>665665</v>
      </c>
      <c r="C21" s="4">
        <v>18.590900000000001</v>
      </c>
      <c r="D21" s="5"/>
      <c r="E21" s="5"/>
      <c r="F21" s="5"/>
    </row>
    <row r="22" spans="1:6" x14ac:dyDescent="0.25">
      <c r="A22" s="3">
        <v>857674</v>
      </c>
      <c r="B22" s="3">
        <v>665665</v>
      </c>
      <c r="C22" s="4">
        <v>16.879100000000001</v>
      </c>
      <c r="D22" s="5"/>
      <c r="E22" s="5"/>
      <c r="F22" s="5"/>
    </row>
    <row r="23" spans="1:6" x14ac:dyDescent="0.25">
      <c r="A23" s="3">
        <v>857674</v>
      </c>
      <c r="B23" s="3">
        <v>665665</v>
      </c>
      <c r="C23" s="4">
        <v>16.864799999999999</v>
      </c>
      <c r="D23" s="5"/>
      <c r="E23" s="5"/>
      <c r="F23" s="5"/>
    </row>
    <row r="24" spans="1:6" x14ac:dyDescent="0.25">
      <c r="A24" s="3">
        <v>857674</v>
      </c>
      <c r="B24" s="3">
        <v>665665</v>
      </c>
      <c r="C24" s="4">
        <v>16.7959</v>
      </c>
      <c r="D24" s="5"/>
      <c r="E24" s="5"/>
      <c r="F24" s="5"/>
    </row>
    <row r="25" spans="1:6" x14ac:dyDescent="0.25">
      <c r="A25" s="3">
        <v>857674</v>
      </c>
      <c r="B25" s="3">
        <v>665665</v>
      </c>
      <c r="C25" s="4">
        <v>16.7789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9" t="s">
        <v>21</v>
      </c>
      <c r="B27" s="9"/>
      <c r="C27" s="9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SUBTOTAL(101,insertion50[comparações])</f>
        <v>561655771.89999998</v>
      </c>
      <c r="E28" s="6">
        <f>SUBTOTAL(101,insertion50[trocas])</f>
        <v>561655771.89999998</v>
      </c>
      <c r="F28" s="6">
        <f>SUBTOTAL(101,insertion50[tempo (ms)])</f>
        <v>5044.3493499999995</v>
      </c>
    </row>
    <row r="29" spans="1:6" x14ac:dyDescent="0.25">
      <c r="A29" s="3">
        <v>561026151</v>
      </c>
      <c r="B29" s="3">
        <v>561026151</v>
      </c>
      <c r="C29" s="4">
        <v>5141.0239000000001</v>
      </c>
      <c r="D29" s="5"/>
      <c r="E29" s="5"/>
      <c r="F29" s="5"/>
    </row>
    <row r="30" spans="1:6" x14ac:dyDescent="0.25">
      <c r="A30" s="3">
        <v>563173762</v>
      </c>
      <c r="B30" s="3">
        <v>563173762</v>
      </c>
      <c r="C30" s="4">
        <v>5147.4258</v>
      </c>
      <c r="D30" s="5"/>
      <c r="E30" s="5"/>
      <c r="F30" s="5"/>
    </row>
    <row r="31" spans="1:6" x14ac:dyDescent="0.25">
      <c r="A31" s="3">
        <v>560518678</v>
      </c>
      <c r="B31" s="3">
        <v>560518678</v>
      </c>
      <c r="C31" s="4">
        <v>5034.7788</v>
      </c>
      <c r="D31" s="5"/>
      <c r="E31" s="5"/>
      <c r="F31" s="5"/>
    </row>
    <row r="32" spans="1:6" x14ac:dyDescent="0.25">
      <c r="A32" s="3">
        <v>563556844</v>
      </c>
      <c r="B32" s="3">
        <v>563556844</v>
      </c>
      <c r="C32" s="4">
        <v>5048.8407999999999</v>
      </c>
      <c r="D32" s="5"/>
      <c r="E32" s="5"/>
      <c r="F32" s="5"/>
    </row>
    <row r="33" spans="1:6" x14ac:dyDescent="0.25">
      <c r="A33" s="3">
        <v>562889487</v>
      </c>
      <c r="B33" s="3">
        <v>562889487</v>
      </c>
      <c r="C33" s="4">
        <v>5000.7655999999997</v>
      </c>
      <c r="D33" s="5"/>
      <c r="E33" s="5"/>
      <c r="F33" s="5"/>
    </row>
    <row r="34" spans="1:6" x14ac:dyDescent="0.25">
      <c r="A34" s="3">
        <v>562527803</v>
      </c>
      <c r="B34" s="3">
        <v>562527803</v>
      </c>
      <c r="C34" s="4">
        <v>5002.5155999999997</v>
      </c>
      <c r="D34" s="5"/>
      <c r="E34" s="5"/>
      <c r="F34" s="5"/>
    </row>
    <row r="35" spans="1:6" x14ac:dyDescent="0.25">
      <c r="A35" s="3">
        <v>561382945</v>
      </c>
      <c r="B35" s="3">
        <v>561382945</v>
      </c>
      <c r="C35" s="4">
        <v>5019.8252000000002</v>
      </c>
      <c r="D35" s="5"/>
      <c r="E35" s="5"/>
      <c r="F35" s="5"/>
    </row>
    <row r="36" spans="1:6" x14ac:dyDescent="0.25">
      <c r="A36" s="3">
        <v>562049521</v>
      </c>
      <c r="B36" s="3">
        <v>562049521</v>
      </c>
      <c r="C36" s="4">
        <v>5039.4858000000004</v>
      </c>
      <c r="D36" s="5"/>
      <c r="E36" s="5"/>
      <c r="F36" s="5"/>
    </row>
    <row r="37" spans="1:6" x14ac:dyDescent="0.25">
      <c r="A37" s="3">
        <v>559297359</v>
      </c>
      <c r="B37" s="3">
        <v>559297359</v>
      </c>
      <c r="C37" s="4">
        <v>5003.1117999999997</v>
      </c>
      <c r="D37" s="5"/>
      <c r="E37" s="5"/>
      <c r="F37" s="5"/>
    </row>
    <row r="38" spans="1:6" x14ac:dyDescent="0.25">
      <c r="A38" s="3">
        <v>560135169</v>
      </c>
      <c r="B38" s="3">
        <v>560135169</v>
      </c>
      <c r="C38" s="4">
        <v>5005.7201999999997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rgb="FF00B0F0"/>
  </sheetPr>
  <dimension ref="A1:F39"/>
  <sheetViews>
    <sheetView zoomScaleNormal="100" workbookViewId="0">
      <selection activeCell="E28" sqref="E28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9" t="s">
        <v>23</v>
      </c>
      <c r="B1" s="9"/>
      <c r="C1" s="9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SUBTOTAL(101,merge50[comparações])</f>
        <v>692427.4</v>
      </c>
      <c r="E2" s="6">
        <f>SUBTOTAL(101,merge50[trocas])</f>
        <v>692427.4</v>
      </c>
      <c r="F2" s="6">
        <f>SUBTOTAL(101,merge50[tempo (ms)])</f>
        <v>12.256310000000003</v>
      </c>
    </row>
    <row r="3" spans="1:6" x14ac:dyDescent="0.25">
      <c r="A3" s="3">
        <v>692357</v>
      </c>
      <c r="B3" s="3">
        <v>692357</v>
      </c>
      <c r="C3" s="4">
        <v>12.638999999999999</v>
      </c>
      <c r="D3" s="5"/>
      <c r="E3" s="5"/>
      <c r="F3" s="5"/>
    </row>
    <row r="4" spans="1:6" x14ac:dyDescent="0.25">
      <c r="A4" s="3">
        <v>692357</v>
      </c>
      <c r="B4" s="3">
        <v>692357</v>
      </c>
      <c r="C4" s="4">
        <v>12.8088</v>
      </c>
      <c r="D4" s="5"/>
      <c r="E4" s="5"/>
      <c r="F4" s="5"/>
    </row>
    <row r="5" spans="1:6" x14ac:dyDescent="0.25">
      <c r="A5" s="3">
        <v>692445</v>
      </c>
      <c r="B5" s="3">
        <v>692445</v>
      </c>
      <c r="C5" s="4">
        <v>11.7841</v>
      </c>
      <c r="D5" s="5"/>
      <c r="E5" s="5"/>
      <c r="F5" s="5"/>
    </row>
    <row r="6" spans="1:6" x14ac:dyDescent="0.25">
      <c r="A6" s="3">
        <v>692445</v>
      </c>
      <c r="B6" s="3">
        <v>692445</v>
      </c>
      <c r="C6" s="4">
        <v>13.823</v>
      </c>
      <c r="D6" s="5"/>
      <c r="E6" s="5"/>
      <c r="F6" s="5"/>
    </row>
    <row r="7" spans="1:6" x14ac:dyDescent="0.25">
      <c r="A7" s="3">
        <v>692445</v>
      </c>
      <c r="B7" s="3">
        <v>692445</v>
      </c>
      <c r="C7" s="4">
        <v>12.257099999999999</v>
      </c>
      <c r="D7" s="5"/>
      <c r="E7" s="5"/>
      <c r="F7" s="5"/>
    </row>
    <row r="8" spans="1:6" x14ac:dyDescent="0.25">
      <c r="A8" s="3">
        <v>692445</v>
      </c>
      <c r="B8" s="3">
        <v>692445</v>
      </c>
      <c r="C8" s="4">
        <v>11.7049</v>
      </c>
      <c r="D8" s="5"/>
      <c r="E8" s="5"/>
      <c r="F8" s="5"/>
    </row>
    <row r="9" spans="1:6" x14ac:dyDescent="0.25">
      <c r="A9" s="3">
        <v>692445</v>
      </c>
      <c r="B9" s="3">
        <v>692445</v>
      </c>
      <c r="C9" s="4">
        <v>11.819100000000001</v>
      </c>
      <c r="D9" s="5"/>
      <c r="E9" s="5"/>
      <c r="F9" s="5"/>
    </row>
    <row r="10" spans="1:6" x14ac:dyDescent="0.25">
      <c r="A10" s="3">
        <v>692445</v>
      </c>
      <c r="B10" s="3">
        <v>692445</v>
      </c>
      <c r="C10" s="4">
        <v>12.0831</v>
      </c>
      <c r="D10" s="5"/>
      <c r="E10" s="5"/>
      <c r="F10" s="5"/>
    </row>
    <row r="11" spans="1:6" x14ac:dyDescent="0.25">
      <c r="A11" s="3">
        <v>692445</v>
      </c>
      <c r="B11" s="3">
        <v>692445</v>
      </c>
      <c r="C11" s="4">
        <v>11.8301</v>
      </c>
      <c r="D11" s="5"/>
      <c r="E11" s="5"/>
      <c r="F11" s="5"/>
    </row>
    <row r="12" spans="1:6" x14ac:dyDescent="0.25">
      <c r="A12" s="3">
        <v>692445</v>
      </c>
      <c r="B12" s="3">
        <v>692445</v>
      </c>
      <c r="C12" s="4">
        <v>11.8139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9" t="s">
        <v>20</v>
      </c>
      <c r="B14" s="9"/>
      <c r="C14" s="9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SUBTOTAL(101,quick50[comparações])</f>
        <v>156496.29999999999</v>
      </c>
      <c r="E15" s="6">
        <f>SUBTOTAL(101,quick50[trocas])</f>
        <v>330773.5</v>
      </c>
      <c r="F15" s="6">
        <f>SUBTOTAL(101,quick50[tempo (ms)])</f>
        <v>5.7232199999999995</v>
      </c>
    </row>
    <row r="16" spans="1:6" x14ac:dyDescent="0.25">
      <c r="A16" s="3">
        <v>159542</v>
      </c>
      <c r="B16" s="3">
        <v>330637</v>
      </c>
      <c r="C16" s="4">
        <v>6.3220999999999998</v>
      </c>
      <c r="D16" s="5"/>
      <c r="E16" s="5"/>
      <c r="F16" s="5"/>
    </row>
    <row r="17" spans="1:6" x14ac:dyDescent="0.25">
      <c r="A17" s="3">
        <v>159542</v>
      </c>
      <c r="B17" s="3">
        <v>330637</v>
      </c>
      <c r="C17" s="4">
        <v>5.6279000000000003</v>
      </c>
      <c r="D17" s="5"/>
      <c r="E17" s="5"/>
      <c r="F17" s="5"/>
    </row>
    <row r="18" spans="1:6" x14ac:dyDescent="0.25">
      <c r="A18" s="3">
        <v>159542</v>
      </c>
      <c r="B18" s="3">
        <v>330637</v>
      </c>
      <c r="C18" s="4">
        <v>5.7839999999999998</v>
      </c>
      <c r="D18" s="5"/>
      <c r="E18" s="5"/>
      <c r="F18" s="5"/>
    </row>
    <row r="19" spans="1:6" x14ac:dyDescent="0.25">
      <c r="A19" s="3">
        <v>155191</v>
      </c>
      <c r="B19" s="3">
        <v>330832</v>
      </c>
      <c r="C19" s="4">
        <v>6.0510999999999999</v>
      </c>
      <c r="D19" s="5"/>
      <c r="E19" s="5"/>
      <c r="F19" s="5"/>
    </row>
    <row r="20" spans="1:6" x14ac:dyDescent="0.25">
      <c r="A20" s="3">
        <v>155191</v>
      </c>
      <c r="B20" s="3">
        <v>330832</v>
      </c>
      <c r="C20" s="4">
        <v>5.5640000000000001</v>
      </c>
      <c r="D20" s="5"/>
      <c r="E20" s="5"/>
      <c r="F20" s="5"/>
    </row>
    <row r="21" spans="1:6" x14ac:dyDescent="0.25">
      <c r="A21" s="3">
        <v>155191</v>
      </c>
      <c r="B21" s="3">
        <v>330832</v>
      </c>
      <c r="C21" s="4">
        <v>5.5119999999999996</v>
      </c>
      <c r="D21" s="5"/>
      <c r="E21" s="5"/>
      <c r="F21" s="5"/>
    </row>
    <row r="22" spans="1:6" x14ac:dyDescent="0.25">
      <c r="A22" s="3">
        <v>155191</v>
      </c>
      <c r="B22" s="3">
        <v>330832</v>
      </c>
      <c r="C22" s="4">
        <v>5.4901</v>
      </c>
      <c r="D22" s="5"/>
      <c r="E22" s="5"/>
      <c r="F22" s="5"/>
    </row>
    <row r="23" spans="1:6" x14ac:dyDescent="0.25">
      <c r="A23" s="3">
        <v>155191</v>
      </c>
      <c r="B23" s="3">
        <v>330832</v>
      </c>
      <c r="C23" s="4">
        <v>5.5959000000000003</v>
      </c>
      <c r="D23" s="5"/>
      <c r="E23" s="5"/>
      <c r="F23" s="5"/>
    </row>
    <row r="24" spans="1:6" x14ac:dyDescent="0.25">
      <c r="A24" s="3">
        <v>155191</v>
      </c>
      <c r="B24" s="3">
        <v>330832</v>
      </c>
      <c r="C24" s="4">
        <v>5.6769999999999996</v>
      </c>
      <c r="D24" s="5"/>
      <c r="E24" s="5"/>
      <c r="F24" s="5"/>
    </row>
    <row r="25" spans="1:6" x14ac:dyDescent="0.25">
      <c r="A25" s="3">
        <v>155191</v>
      </c>
      <c r="B25" s="3">
        <v>330832</v>
      </c>
      <c r="C25" s="4">
        <v>5.6081000000000003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9" t="s">
        <v>21</v>
      </c>
      <c r="B27" s="9"/>
      <c r="C27" s="9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SUBTOTAL(101,selection50[comparações])</f>
        <v>96472.5</v>
      </c>
      <c r="E28" s="6">
        <f>SUBTOTAL(101,selection50[trocas])</f>
        <v>45021.8</v>
      </c>
      <c r="F28" s="6">
        <f>SUBTOTAL(101,selection50[tempo (ms)])</f>
        <v>2684.2264700000001</v>
      </c>
    </row>
    <row r="29" spans="1:6" x14ac:dyDescent="0.25">
      <c r="A29" s="3">
        <v>96257</v>
      </c>
      <c r="B29" s="3">
        <v>44988</v>
      </c>
      <c r="C29" s="4">
        <v>2666.0180999999998</v>
      </c>
      <c r="D29" s="5"/>
      <c r="E29" s="5"/>
      <c r="F29" s="5"/>
    </row>
    <row r="30" spans="1:6" x14ac:dyDescent="0.25">
      <c r="A30" s="3">
        <v>96945</v>
      </c>
      <c r="B30" s="3">
        <v>45100</v>
      </c>
      <c r="C30" s="4">
        <v>2652.6120999999998</v>
      </c>
      <c r="D30" s="5"/>
      <c r="E30" s="5"/>
      <c r="F30" s="5"/>
    </row>
    <row r="31" spans="1:6" x14ac:dyDescent="0.25">
      <c r="A31" s="3">
        <v>96479</v>
      </c>
      <c r="B31" s="3">
        <v>44995</v>
      </c>
      <c r="C31" s="4">
        <v>2648.7510000000002</v>
      </c>
      <c r="D31" s="5"/>
      <c r="E31" s="5"/>
      <c r="F31" s="5"/>
    </row>
    <row r="32" spans="1:6" x14ac:dyDescent="0.25">
      <c r="A32" s="3">
        <v>96607</v>
      </c>
      <c r="B32" s="3">
        <v>45063</v>
      </c>
      <c r="C32" s="4">
        <v>2637.6792</v>
      </c>
      <c r="D32" s="5"/>
      <c r="E32" s="5"/>
      <c r="F32" s="5"/>
    </row>
    <row r="33" spans="1:6" x14ac:dyDescent="0.25">
      <c r="A33" s="3">
        <v>96276</v>
      </c>
      <c r="B33" s="3">
        <v>45088</v>
      </c>
      <c r="C33" s="4">
        <v>2695.2550999999999</v>
      </c>
      <c r="D33" s="5"/>
      <c r="E33" s="5"/>
      <c r="F33" s="5"/>
    </row>
    <row r="34" spans="1:6" x14ac:dyDescent="0.25">
      <c r="A34" s="3">
        <v>96073</v>
      </c>
      <c r="B34" s="3">
        <v>44941</v>
      </c>
      <c r="C34" s="4">
        <v>2720.3301000000001</v>
      </c>
      <c r="D34" s="5"/>
      <c r="E34" s="5"/>
      <c r="F34" s="5"/>
    </row>
    <row r="35" spans="1:6" x14ac:dyDescent="0.25">
      <c r="A35" s="3">
        <v>95720</v>
      </c>
      <c r="B35" s="3">
        <v>45043</v>
      </c>
      <c r="C35" s="4">
        <v>2709.1091000000001</v>
      </c>
      <c r="D35" s="5"/>
      <c r="E35" s="5"/>
      <c r="F35" s="5"/>
    </row>
    <row r="36" spans="1:6" x14ac:dyDescent="0.25">
      <c r="A36" s="3">
        <v>97507</v>
      </c>
      <c r="B36" s="3">
        <v>45061</v>
      </c>
      <c r="C36" s="4">
        <v>2700.1599000000001</v>
      </c>
      <c r="D36" s="5"/>
      <c r="E36" s="5"/>
      <c r="F36" s="5"/>
    </row>
    <row r="37" spans="1:6" x14ac:dyDescent="0.25">
      <c r="A37" s="3">
        <v>96377</v>
      </c>
      <c r="B37" s="3">
        <v>45046</v>
      </c>
      <c r="C37" s="4">
        <v>2719.1161999999999</v>
      </c>
      <c r="D37" s="5"/>
      <c r="E37" s="5"/>
      <c r="F37" s="5"/>
    </row>
    <row r="38" spans="1:6" x14ac:dyDescent="0.25">
      <c r="A38" s="3">
        <v>96484</v>
      </c>
      <c r="B38" s="3">
        <v>44893</v>
      </c>
      <c r="C38" s="4">
        <v>2693.2339000000002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00B0F0"/>
  </sheetPr>
  <dimension ref="A1:F39"/>
  <sheetViews>
    <sheetView zoomScaleNormal="100" workbookViewId="0">
      <selection activeCell="I39" sqref="I39"/>
    </sheetView>
  </sheetViews>
  <sheetFormatPr defaultRowHeight="15" x14ac:dyDescent="0.25"/>
  <cols>
    <col min="1" max="1" width="16.28515625" customWidth="1"/>
    <col min="2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9" t="s">
        <v>17</v>
      </c>
      <c r="B1" s="9"/>
      <c r="C1" s="9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SUBTOTAL(101,bubble100_[comparações])</f>
        <v>2249324511.6999998</v>
      </c>
      <c r="E2" s="6">
        <f>SUBTOTAL(101,bubble100_[trocas])</f>
        <v>2249324511.6999998</v>
      </c>
      <c r="F2" s="6">
        <f>SUBTOTAL(101,bubble100_[tempo (ms)])</f>
        <v>46621.516409999997</v>
      </c>
    </row>
    <row r="3" spans="1:6" x14ac:dyDescent="0.25">
      <c r="A3" s="3">
        <v>2244458243</v>
      </c>
      <c r="B3" s="3">
        <v>2244458243</v>
      </c>
      <c r="C3" s="4">
        <v>46729.152300000002</v>
      </c>
      <c r="D3" s="5"/>
      <c r="E3" s="5"/>
      <c r="F3" s="5"/>
    </row>
    <row r="4" spans="1:6" x14ac:dyDescent="0.25">
      <c r="A4" s="3">
        <v>2250662205</v>
      </c>
      <c r="B4" s="3">
        <v>2250662205</v>
      </c>
      <c r="C4" s="4">
        <v>46692.546900000001</v>
      </c>
      <c r="D4" s="5"/>
      <c r="E4" s="5"/>
      <c r="F4" s="5"/>
    </row>
    <row r="5" spans="1:6" x14ac:dyDescent="0.25">
      <c r="A5" s="3">
        <v>2251739142</v>
      </c>
      <c r="B5" s="3">
        <v>2251739142</v>
      </c>
      <c r="C5" s="4">
        <v>46334.484400000001</v>
      </c>
      <c r="D5" s="5"/>
      <c r="E5" s="5"/>
      <c r="F5" s="5"/>
    </row>
    <row r="6" spans="1:6" x14ac:dyDescent="0.25">
      <c r="A6" s="3">
        <v>2255352507</v>
      </c>
      <c r="B6" s="3">
        <v>2255352507</v>
      </c>
      <c r="C6" s="4">
        <v>46589.667999999998</v>
      </c>
      <c r="D6" s="5"/>
      <c r="E6" s="5"/>
      <c r="F6" s="5"/>
    </row>
    <row r="7" spans="1:6" x14ac:dyDescent="0.25">
      <c r="A7" s="3">
        <v>2251565718</v>
      </c>
      <c r="B7" s="3">
        <v>2251565718</v>
      </c>
      <c r="C7" s="4">
        <v>46646.976600000002</v>
      </c>
      <c r="D7" s="5"/>
      <c r="E7" s="5"/>
      <c r="F7" s="5"/>
    </row>
    <row r="8" spans="1:6" x14ac:dyDescent="0.25">
      <c r="A8" s="3">
        <v>2253423690</v>
      </c>
      <c r="B8" s="3">
        <v>2253423690</v>
      </c>
      <c r="C8" s="4">
        <v>47141.144500000002</v>
      </c>
      <c r="D8" s="5"/>
      <c r="E8" s="5"/>
      <c r="F8" s="5"/>
    </row>
    <row r="9" spans="1:6" x14ac:dyDescent="0.25">
      <c r="A9" s="3">
        <v>2246661706</v>
      </c>
      <c r="B9" s="3">
        <v>2246661706</v>
      </c>
      <c r="C9" s="4">
        <v>46983.699200000003</v>
      </c>
      <c r="D9" s="5"/>
      <c r="E9" s="5"/>
      <c r="F9" s="5"/>
    </row>
    <row r="10" spans="1:6" x14ac:dyDescent="0.25">
      <c r="A10" s="3">
        <v>2240614003</v>
      </c>
      <c r="B10" s="3">
        <v>2240614003</v>
      </c>
      <c r="C10" s="4">
        <v>46501.996099999997</v>
      </c>
      <c r="D10" s="5"/>
      <c r="E10" s="5"/>
      <c r="F10" s="5"/>
    </row>
    <row r="11" spans="1:6" x14ac:dyDescent="0.25">
      <c r="A11" s="3">
        <v>2251336593</v>
      </c>
      <c r="B11" s="3">
        <v>2251336593</v>
      </c>
      <c r="C11" s="4">
        <v>46263.960899999998</v>
      </c>
      <c r="D11" s="5"/>
      <c r="E11" s="5"/>
      <c r="F11" s="5"/>
    </row>
    <row r="12" spans="1:6" x14ac:dyDescent="0.25">
      <c r="A12" s="3">
        <v>2247431310</v>
      </c>
      <c r="B12" s="3">
        <v>2247431310</v>
      </c>
      <c r="C12" s="4">
        <v>46331.535199999998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9" t="s">
        <v>20</v>
      </c>
      <c r="B14" s="9"/>
      <c r="C14" s="9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SUBTOTAL(101,heap100[comparações])</f>
        <v>1841105.9</v>
      </c>
      <c r="E15" s="6">
        <f>SUBTOTAL(101,heap100[trocas])</f>
        <v>1419096.2</v>
      </c>
      <c r="F15" s="6">
        <f>SUBTOTAL(101,heap100[tempo (ms)])</f>
        <v>36.873100000000001</v>
      </c>
    </row>
    <row r="16" spans="1:6" x14ac:dyDescent="0.25">
      <c r="A16" s="3">
        <v>1841015</v>
      </c>
      <c r="B16" s="3">
        <v>1419002</v>
      </c>
      <c r="C16" s="4">
        <v>37.702100000000002</v>
      </c>
      <c r="D16" s="5"/>
      <c r="E16" s="5"/>
      <c r="F16" s="5"/>
    </row>
    <row r="17" spans="1:6" x14ac:dyDescent="0.25">
      <c r="A17" s="3">
        <v>1841015</v>
      </c>
      <c r="B17" s="3">
        <v>1419002</v>
      </c>
      <c r="C17" s="4">
        <v>37.786999999999999</v>
      </c>
      <c r="D17" s="5"/>
      <c r="E17" s="5"/>
      <c r="F17" s="5"/>
    </row>
    <row r="18" spans="1:6" x14ac:dyDescent="0.25">
      <c r="A18" s="3">
        <v>1841015</v>
      </c>
      <c r="B18" s="3">
        <v>1419002</v>
      </c>
      <c r="C18" s="4">
        <v>40.442900000000002</v>
      </c>
      <c r="D18" s="5"/>
      <c r="E18" s="5"/>
      <c r="F18" s="5"/>
    </row>
    <row r="19" spans="1:6" x14ac:dyDescent="0.25">
      <c r="A19" s="3">
        <v>1841015</v>
      </c>
      <c r="B19" s="3">
        <v>1419002</v>
      </c>
      <c r="C19" s="4">
        <v>36.461100000000002</v>
      </c>
      <c r="D19" s="5"/>
      <c r="E19" s="5"/>
      <c r="F19" s="5"/>
    </row>
    <row r="20" spans="1:6" x14ac:dyDescent="0.25">
      <c r="A20" s="3">
        <v>1841015</v>
      </c>
      <c r="B20" s="3">
        <v>1419002</v>
      </c>
      <c r="C20" s="4">
        <v>35.885800000000003</v>
      </c>
      <c r="D20" s="5"/>
      <c r="E20" s="5"/>
      <c r="F20" s="5"/>
    </row>
    <row r="21" spans="1:6" x14ac:dyDescent="0.25">
      <c r="A21" s="3">
        <v>1841015</v>
      </c>
      <c r="B21" s="3">
        <v>1419002</v>
      </c>
      <c r="C21" s="4">
        <v>36.208199999999998</v>
      </c>
      <c r="D21" s="5"/>
      <c r="E21" s="5"/>
      <c r="F21" s="5"/>
    </row>
    <row r="22" spans="1:6" x14ac:dyDescent="0.25">
      <c r="A22" s="3">
        <v>1841015</v>
      </c>
      <c r="B22" s="3">
        <v>1419002</v>
      </c>
      <c r="C22" s="4">
        <v>35.475000000000001</v>
      </c>
      <c r="D22" s="5"/>
      <c r="E22" s="5"/>
      <c r="F22" s="5"/>
    </row>
    <row r="23" spans="1:6" x14ac:dyDescent="0.25">
      <c r="A23" s="3">
        <v>1841318</v>
      </c>
      <c r="B23" s="3">
        <v>1419316</v>
      </c>
      <c r="C23" s="4">
        <v>35.980899999999998</v>
      </c>
      <c r="D23" s="5"/>
      <c r="E23" s="5"/>
      <c r="F23" s="5"/>
    </row>
    <row r="24" spans="1:6" x14ac:dyDescent="0.25">
      <c r="A24" s="3">
        <v>1841318</v>
      </c>
      <c r="B24" s="3">
        <v>1419316</v>
      </c>
      <c r="C24" s="4">
        <v>35.768000000000001</v>
      </c>
      <c r="D24" s="5"/>
      <c r="E24" s="5"/>
      <c r="F24" s="5"/>
    </row>
    <row r="25" spans="1:6" x14ac:dyDescent="0.25">
      <c r="A25" s="3">
        <v>1841318</v>
      </c>
      <c r="B25" s="3">
        <v>1419316</v>
      </c>
      <c r="C25" s="4">
        <v>37.020000000000003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9" t="s">
        <v>21</v>
      </c>
      <c r="B27" s="9"/>
      <c r="C27" s="9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SUBTOTAL(101,insertion100[comparações])</f>
        <v>2251491017.6999998</v>
      </c>
      <c r="E28" s="6">
        <f>SUBTOTAL(101,insertion100[trocas])</f>
        <v>2251491017.6999998</v>
      </c>
      <c r="F28" s="6">
        <f>SUBTOTAL(101,insertion100[tempo (ms)])</f>
        <v>20429.910169999996</v>
      </c>
    </row>
    <row r="29" spans="1:6" x14ac:dyDescent="0.25">
      <c r="A29" s="3">
        <v>2245284326</v>
      </c>
      <c r="B29" s="3">
        <v>2245284326</v>
      </c>
      <c r="C29" s="4">
        <v>20533.6387</v>
      </c>
      <c r="D29" s="5"/>
      <c r="E29" s="5"/>
      <c r="F29" s="5"/>
    </row>
    <row r="30" spans="1:6" x14ac:dyDescent="0.25">
      <c r="A30" s="3">
        <v>2246390731</v>
      </c>
      <c r="B30" s="3">
        <v>2246390731</v>
      </c>
      <c r="C30" s="4">
        <v>20390.863300000001</v>
      </c>
      <c r="D30" s="5"/>
      <c r="E30" s="5"/>
      <c r="F30" s="5"/>
    </row>
    <row r="31" spans="1:6" x14ac:dyDescent="0.25">
      <c r="A31" s="3">
        <v>2250208246</v>
      </c>
      <c r="B31" s="3">
        <v>2250208246</v>
      </c>
      <c r="C31" s="4">
        <v>20738.160199999998</v>
      </c>
      <c r="D31" s="5"/>
      <c r="E31" s="5"/>
      <c r="F31" s="5"/>
    </row>
    <row r="32" spans="1:6" x14ac:dyDescent="0.25">
      <c r="A32" s="3">
        <v>2259035135</v>
      </c>
      <c r="B32" s="3">
        <v>2259035135</v>
      </c>
      <c r="C32" s="4">
        <v>20556.984400000001</v>
      </c>
      <c r="D32" s="5"/>
      <c r="E32" s="5"/>
      <c r="F32" s="5"/>
    </row>
    <row r="33" spans="1:6" x14ac:dyDescent="0.25">
      <c r="A33" s="3">
        <v>2258724049</v>
      </c>
      <c r="B33" s="3">
        <v>2258724049</v>
      </c>
      <c r="C33" s="4">
        <v>20366.017599999999</v>
      </c>
      <c r="D33" s="5"/>
      <c r="E33" s="5"/>
      <c r="F33" s="5"/>
    </row>
    <row r="34" spans="1:6" x14ac:dyDescent="0.25">
      <c r="A34" s="3">
        <v>2246612514</v>
      </c>
      <c r="B34" s="3">
        <v>2246612514</v>
      </c>
      <c r="C34" s="4">
        <v>20324.992200000001</v>
      </c>
      <c r="D34" s="5"/>
      <c r="E34" s="5"/>
      <c r="F34" s="5"/>
    </row>
    <row r="35" spans="1:6" x14ac:dyDescent="0.25">
      <c r="A35" s="3">
        <v>2246991316</v>
      </c>
      <c r="B35" s="3">
        <v>2246991316</v>
      </c>
      <c r="C35" s="4">
        <v>20463.007799999999</v>
      </c>
      <c r="D35" s="5"/>
      <c r="E35" s="5"/>
      <c r="F35" s="5"/>
    </row>
    <row r="36" spans="1:6" x14ac:dyDescent="0.25">
      <c r="A36" s="3">
        <v>2252029145</v>
      </c>
      <c r="B36" s="3">
        <v>2252029145</v>
      </c>
      <c r="C36" s="4">
        <v>20183.132799999999</v>
      </c>
      <c r="D36" s="5"/>
      <c r="E36" s="5"/>
      <c r="F36" s="5"/>
    </row>
    <row r="37" spans="1:6" x14ac:dyDescent="0.25">
      <c r="A37" s="3">
        <v>2250948506</v>
      </c>
      <c r="B37" s="3">
        <v>2250948506</v>
      </c>
      <c r="C37" s="4">
        <v>20300.8809</v>
      </c>
      <c r="D37" s="5"/>
      <c r="E37" s="5"/>
      <c r="F37" s="5"/>
    </row>
    <row r="38" spans="1:6" x14ac:dyDescent="0.25">
      <c r="A38" s="3">
        <v>2258686209</v>
      </c>
      <c r="B38" s="3">
        <v>2258686209</v>
      </c>
      <c r="C38" s="4">
        <v>20441.4238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>
    <tabColor rgb="FF00B0F0"/>
  </sheetPr>
  <dimension ref="A1:F39"/>
  <sheetViews>
    <sheetView zoomScaleNormal="100" workbookViewId="0">
      <selection activeCell="D28" sqref="D28"/>
    </sheetView>
  </sheetViews>
  <sheetFormatPr defaultRowHeight="15" x14ac:dyDescent="0.25"/>
  <cols>
    <col min="1" max="1" width="16.28515625" customWidth="1"/>
    <col min="2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9" t="s">
        <v>23</v>
      </c>
      <c r="B1" s="9"/>
      <c r="C1" s="9"/>
      <c r="D1" s="5"/>
      <c r="E1" s="5"/>
      <c r="F1" s="5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6">
        <f>SUBTOTAL(101,merge100[comparações])</f>
        <v>1479957.7</v>
      </c>
      <c r="E2" s="6">
        <f>SUBTOTAL(101,merge100[trocas])</f>
        <v>1479957.7</v>
      </c>
      <c r="F2" s="6">
        <f>SUBTOTAL(101,merge100[tempo (ms)])</f>
        <v>25.664929999999998</v>
      </c>
    </row>
    <row r="3" spans="1:6" x14ac:dyDescent="0.25">
      <c r="A3" s="3">
        <v>1480291</v>
      </c>
      <c r="B3" s="3">
        <v>1480291</v>
      </c>
      <c r="C3" s="4">
        <v>25.456900000000001</v>
      </c>
      <c r="D3" s="5"/>
      <c r="E3" s="5"/>
      <c r="F3" s="5"/>
    </row>
    <row r="4" spans="1:6" x14ac:dyDescent="0.25">
      <c r="A4" s="3">
        <v>1480291</v>
      </c>
      <c r="B4" s="3">
        <v>1480291</v>
      </c>
      <c r="C4" s="4">
        <v>26.8781</v>
      </c>
      <c r="D4" s="5"/>
      <c r="E4" s="5"/>
      <c r="F4" s="5"/>
    </row>
    <row r="5" spans="1:6" x14ac:dyDescent="0.25">
      <c r="A5" s="3">
        <v>1480291</v>
      </c>
      <c r="B5" s="3">
        <v>1480291</v>
      </c>
      <c r="C5" s="4">
        <v>26.027000000000001</v>
      </c>
      <c r="D5" s="5"/>
      <c r="E5" s="5"/>
      <c r="F5" s="5"/>
    </row>
    <row r="6" spans="1:6" x14ac:dyDescent="0.25">
      <c r="A6" s="3">
        <v>1480291</v>
      </c>
      <c r="B6" s="3">
        <v>1480291</v>
      </c>
      <c r="C6" s="4">
        <v>26.809000000000001</v>
      </c>
      <c r="D6" s="5"/>
      <c r="E6" s="5"/>
      <c r="F6" s="5"/>
    </row>
    <row r="7" spans="1:6" x14ac:dyDescent="0.25">
      <c r="A7" s="3">
        <v>1480291</v>
      </c>
      <c r="B7" s="3">
        <v>1480291</v>
      </c>
      <c r="C7" s="4">
        <v>26.179099999999998</v>
      </c>
      <c r="D7" s="5"/>
      <c r="E7" s="5"/>
      <c r="F7" s="5"/>
    </row>
    <row r="8" spans="1:6" x14ac:dyDescent="0.25">
      <c r="A8" s="3">
        <v>1480291</v>
      </c>
      <c r="B8" s="3">
        <v>1480291</v>
      </c>
      <c r="C8" s="4">
        <v>25.140999999999998</v>
      </c>
      <c r="D8" s="5"/>
      <c r="E8" s="5"/>
      <c r="F8" s="5"/>
    </row>
    <row r="9" spans="1:6" x14ac:dyDescent="0.25">
      <c r="A9" s="3">
        <v>1480291</v>
      </c>
      <c r="B9" s="3">
        <v>1480291</v>
      </c>
      <c r="C9" s="4">
        <v>24.982199999999999</v>
      </c>
      <c r="D9" s="5"/>
      <c r="E9" s="5"/>
      <c r="F9" s="5"/>
    </row>
    <row r="10" spans="1:6" x14ac:dyDescent="0.25">
      <c r="A10" s="3">
        <v>1479180</v>
      </c>
      <c r="B10" s="3">
        <v>1479180</v>
      </c>
      <c r="C10" s="4">
        <v>25.129100000000001</v>
      </c>
      <c r="D10" s="5"/>
      <c r="E10" s="5"/>
      <c r="F10" s="5"/>
    </row>
    <row r="11" spans="1:6" x14ac:dyDescent="0.25">
      <c r="A11" s="3">
        <v>1479180</v>
      </c>
      <c r="B11" s="3">
        <v>1479180</v>
      </c>
      <c r="C11" s="4">
        <v>25.1219</v>
      </c>
      <c r="D11" s="5"/>
      <c r="E11" s="5"/>
      <c r="F11" s="5"/>
    </row>
    <row r="12" spans="1:6" x14ac:dyDescent="0.25">
      <c r="A12" s="3">
        <v>1479180</v>
      </c>
      <c r="B12" s="3">
        <v>1479180</v>
      </c>
      <c r="C12" s="4">
        <v>24.925000000000001</v>
      </c>
      <c r="D12" s="5"/>
      <c r="E12" s="5"/>
      <c r="F12" s="5"/>
    </row>
    <row r="13" spans="1:6" x14ac:dyDescent="0.25">
      <c r="D13" s="5"/>
      <c r="E13" s="5"/>
      <c r="F13" s="5"/>
    </row>
    <row r="14" spans="1:6" ht="19.5" thickBot="1" x14ac:dyDescent="0.3">
      <c r="A14" s="9" t="s">
        <v>24</v>
      </c>
      <c r="B14" s="9"/>
      <c r="C14" s="9"/>
      <c r="D14" s="5"/>
      <c r="E14" s="5"/>
      <c r="F14" s="5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6">
        <f>SUBTOTAL(101,quick100[comparações])</f>
        <v>251642.2</v>
      </c>
      <c r="E15" s="6">
        <f>SUBTOTAL(101,quick100[trocas])</f>
        <v>712750.4</v>
      </c>
      <c r="F15" s="6">
        <f>SUBTOTAL(101,quick100[tempo (ms)])</f>
        <v>12.92699</v>
      </c>
    </row>
    <row r="16" spans="1:6" x14ac:dyDescent="0.25">
      <c r="A16" s="3">
        <v>285790</v>
      </c>
      <c r="B16" s="3">
        <v>712256</v>
      </c>
      <c r="C16" s="4">
        <v>14.244999999999999</v>
      </c>
      <c r="D16" s="5"/>
      <c r="E16" s="5"/>
      <c r="F16" s="5"/>
    </row>
    <row r="17" spans="1:6" x14ac:dyDescent="0.25">
      <c r="A17" s="3">
        <v>285790</v>
      </c>
      <c r="B17" s="3">
        <v>712256</v>
      </c>
      <c r="C17" s="4">
        <v>14.853999999999999</v>
      </c>
      <c r="D17" s="5"/>
      <c r="E17" s="5"/>
      <c r="F17" s="5"/>
    </row>
    <row r="18" spans="1:6" x14ac:dyDescent="0.25">
      <c r="A18" s="3">
        <v>285790</v>
      </c>
      <c r="B18" s="3">
        <v>712256</v>
      </c>
      <c r="C18" s="4">
        <v>13.0029</v>
      </c>
      <c r="D18" s="5"/>
      <c r="E18" s="5"/>
      <c r="F18" s="5"/>
    </row>
    <row r="19" spans="1:6" x14ac:dyDescent="0.25">
      <c r="A19" s="3">
        <v>285790</v>
      </c>
      <c r="B19" s="3">
        <v>712256</v>
      </c>
      <c r="C19" s="4">
        <v>11.888999999999999</v>
      </c>
      <c r="D19" s="5"/>
      <c r="E19" s="5"/>
      <c r="F19" s="5"/>
    </row>
    <row r="20" spans="1:6" x14ac:dyDescent="0.25">
      <c r="A20" s="3">
        <v>228877</v>
      </c>
      <c r="B20" s="3">
        <v>713080</v>
      </c>
      <c r="C20" s="4">
        <v>11.518000000000001</v>
      </c>
      <c r="D20" s="5"/>
      <c r="E20" s="5"/>
      <c r="F20" s="5"/>
    </row>
    <row r="21" spans="1:6" x14ac:dyDescent="0.25">
      <c r="A21" s="3">
        <v>228877</v>
      </c>
      <c r="B21" s="3">
        <v>713080</v>
      </c>
      <c r="C21" s="4">
        <v>11.7319</v>
      </c>
      <c r="D21" s="5"/>
      <c r="E21" s="5"/>
      <c r="F21" s="5"/>
    </row>
    <row r="22" spans="1:6" x14ac:dyDescent="0.25">
      <c r="A22" s="3">
        <v>228877</v>
      </c>
      <c r="B22" s="3">
        <v>713080</v>
      </c>
      <c r="C22" s="4">
        <v>12.777100000000001</v>
      </c>
      <c r="D22" s="5"/>
      <c r="E22" s="5"/>
      <c r="F22" s="5"/>
    </row>
    <row r="23" spans="1:6" x14ac:dyDescent="0.25">
      <c r="A23" s="3">
        <v>228877</v>
      </c>
      <c r="B23" s="3">
        <v>713080</v>
      </c>
      <c r="C23" s="4">
        <v>14.761900000000001</v>
      </c>
      <c r="D23" s="5"/>
      <c r="E23" s="5"/>
      <c r="F23" s="5"/>
    </row>
    <row r="24" spans="1:6" x14ac:dyDescent="0.25">
      <c r="A24" s="3">
        <v>228877</v>
      </c>
      <c r="B24" s="3">
        <v>713080</v>
      </c>
      <c r="C24" s="4">
        <v>11.9841</v>
      </c>
      <c r="D24" s="5"/>
      <c r="E24" s="5"/>
      <c r="F24" s="5"/>
    </row>
    <row r="25" spans="1:6" x14ac:dyDescent="0.25">
      <c r="A25" s="3">
        <v>228877</v>
      </c>
      <c r="B25" s="3">
        <v>713080</v>
      </c>
      <c r="C25" s="4">
        <v>12.506</v>
      </c>
      <c r="D25" s="5"/>
      <c r="E25" s="5"/>
      <c r="F25" s="5"/>
    </row>
    <row r="26" spans="1:6" x14ac:dyDescent="0.25">
      <c r="D26" s="5"/>
      <c r="E26" s="5"/>
      <c r="F26" s="5"/>
    </row>
    <row r="27" spans="1:6" ht="19.5" thickBot="1" x14ac:dyDescent="0.3">
      <c r="A27" s="9" t="s">
        <v>25</v>
      </c>
      <c r="B27" s="9"/>
      <c r="C27" s="9"/>
      <c r="D27" s="5"/>
      <c r="E27" s="5"/>
      <c r="F27" s="5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6">
        <f>SUBTOTAL(101,selection100[comparações])</f>
        <v>192833.9</v>
      </c>
      <c r="E28" s="6">
        <f>SUBTOTAL(101,selection100[trocas])</f>
        <v>89999</v>
      </c>
      <c r="F28" s="6">
        <f>SUBTOTAL(101,selection100[tempo (ms)])</f>
        <v>10634.502340000001</v>
      </c>
    </row>
    <row r="29" spans="1:6" x14ac:dyDescent="0.25">
      <c r="A29" s="3">
        <v>192531</v>
      </c>
      <c r="B29" s="3">
        <v>89892</v>
      </c>
      <c r="C29" s="4">
        <v>10601.0283</v>
      </c>
      <c r="D29" s="5"/>
      <c r="E29" s="5"/>
      <c r="F29" s="5"/>
    </row>
    <row r="30" spans="1:6" x14ac:dyDescent="0.25">
      <c r="A30" s="3">
        <v>192739</v>
      </c>
      <c r="B30" s="3">
        <v>89917</v>
      </c>
      <c r="C30" s="4">
        <v>10609.833000000001</v>
      </c>
      <c r="D30" s="5"/>
      <c r="E30" s="5"/>
      <c r="F30" s="5"/>
    </row>
    <row r="31" spans="1:6" x14ac:dyDescent="0.25">
      <c r="A31" s="3">
        <v>192823</v>
      </c>
      <c r="B31" s="3">
        <v>89898</v>
      </c>
      <c r="C31" s="4">
        <v>10618.9678</v>
      </c>
      <c r="D31" s="5"/>
      <c r="E31" s="5"/>
      <c r="F31" s="5"/>
    </row>
    <row r="32" spans="1:6" x14ac:dyDescent="0.25">
      <c r="A32" s="3">
        <v>192979</v>
      </c>
      <c r="B32" s="3">
        <v>89899</v>
      </c>
      <c r="C32" s="4">
        <v>10633.4355</v>
      </c>
      <c r="D32" s="5"/>
      <c r="E32" s="5"/>
      <c r="F32" s="5"/>
    </row>
    <row r="33" spans="1:6" x14ac:dyDescent="0.25">
      <c r="A33" s="3">
        <v>193474</v>
      </c>
      <c r="B33" s="3">
        <v>90172</v>
      </c>
      <c r="C33" s="4">
        <v>10654.7246</v>
      </c>
      <c r="D33" s="5"/>
      <c r="E33" s="5"/>
      <c r="F33" s="5"/>
    </row>
    <row r="34" spans="1:6" x14ac:dyDescent="0.25">
      <c r="A34" s="3">
        <v>192917</v>
      </c>
      <c r="B34" s="3">
        <v>89992</v>
      </c>
      <c r="C34" s="4">
        <v>10653.520500000001</v>
      </c>
      <c r="D34" s="5"/>
      <c r="E34" s="5"/>
      <c r="F34" s="5"/>
    </row>
    <row r="35" spans="1:6" x14ac:dyDescent="0.25">
      <c r="A35" s="3">
        <v>192341</v>
      </c>
      <c r="B35" s="3">
        <v>89962</v>
      </c>
      <c r="C35" s="4">
        <v>10613.6602</v>
      </c>
      <c r="D35" s="5"/>
      <c r="E35" s="5"/>
      <c r="F35" s="5"/>
    </row>
    <row r="36" spans="1:6" x14ac:dyDescent="0.25">
      <c r="A36" s="3">
        <v>192564</v>
      </c>
      <c r="B36" s="3">
        <v>90128</v>
      </c>
      <c r="C36" s="4">
        <v>10624.0928</v>
      </c>
      <c r="D36" s="5"/>
      <c r="E36" s="5"/>
      <c r="F36" s="5"/>
    </row>
    <row r="37" spans="1:6" x14ac:dyDescent="0.25">
      <c r="A37" s="3">
        <v>192617</v>
      </c>
      <c r="B37" s="3">
        <v>90076</v>
      </c>
      <c r="C37" s="4">
        <v>10637.020500000001</v>
      </c>
      <c r="D37" s="5"/>
      <c r="E37" s="5"/>
      <c r="F37" s="5"/>
    </row>
    <row r="38" spans="1:6" x14ac:dyDescent="0.25">
      <c r="A38" s="3">
        <v>193354</v>
      </c>
      <c r="B38" s="3">
        <v>90054</v>
      </c>
      <c r="C38" s="4">
        <v>10698.7402</v>
      </c>
      <c r="D38" s="5"/>
      <c r="E38" s="5"/>
      <c r="F38" s="5"/>
    </row>
    <row r="39" spans="1:6" x14ac:dyDescent="0.25">
      <c r="A39" s="3"/>
      <c r="B39" s="3"/>
      <c r="C39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parte1</vt:lpstr>
      <vt:lpstr>1k(1)</vt:lpstr>
      <vt:lpstr>1k(2)</vt:lpstr>
      <vt:lpstr>5k(1)</vt:lpstr>
      <vt:lpstr>5k(2)</vt:lpstr>
      <vt:lpstr>10k(1)</vt:lpstr>
      <vt:lpstr>10k(2)</vt:lpstr>
      <vt:lpstr>20k(1)</vt:lpstr>
      <vt:lpstr>20k(2)</vt:lpstr>
      <vt:lpstr>50k(1)</vt:lpstr>
      <vt:lpstr>50k(2)</vt:lpstr>
      <vt:lpstr>100k(1)</vt:lpstr>
      <vt:lpstr>100k(2)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</dc:creator>
  <cp:lastModifiedBy>Micael</cp:lastModifiedBy>
  <dcterms:created xsi:type="dcterms:W3CDTF">2017-04-09T02:24:05Z</dcterms:created>
  <dcterms:modified xsi:type="dcterms:W3CDTF">2017-04-14T01:52:58Z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9f435758-f414-4d66-8719-bc0502caf86f</vt:lpwstr>
  </property>
</Properties>
</file>