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GitHub\LPAV-2017-1\TP4\"/>
    </mc:Choice>
  </mc:AlternateContent>
  <bookViews>
    <workbookView xWindow="0" yWindow="0" windowWidth="28800" windowHeight="12585" tabRatio="694" activeTab="3"/>
  </bookViews>
  <sheets>
    <sheet name="parte1" sheetId="1" r:id="rId1"/>
    <sheet name="parte1 (split)" sheetId="22" r:id="rId2"/>
    <sheet name="parte2" sheetId="24" r:id="rId3"/>
    <sheet name="parte3" sheetId="26" r:id="rId4"/>
    <sheet name="1k(1)" sheetId="2" r:id="rId5"/>
    <sheet name="1k(2)" sheetId="10" r:id="rId6"/>
    <sheet name="5k(1)" sheetId="11" r:id="rId7"/>
    <sheet name="5k(2)" sheetId="12" r:id="rId8"/>
    <sheet name="10k(1)" sheetId="14" r:id="rId9"/>
    <sheet name="10k(2)" sheetId="13" r:id="rId10"/>
    <sheet name="20k(1)" sheetId="15" r:id="rId11"/>
    <sheet name="20k(2)" sheetId="16" r:id="rId12"/>
    <sheet name="50k(1)" sheetId="17" r:id="rId13"/>
    <sheet name="50k(2)" sheetId="18" r:id="rId14"/>
    <sheet name="100k(1)" sheetId="19" r:id="rId15"/>
    <sheet name="100k(2)" sheetId="20" r:id="rId1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26" l="1"/>
  <c r="L9" i="26" s="1"/>
  <c r="L4" i="26"/>
  <c r="M4" i="26"/>
  <c r="N4" i="26"/>
  <c r="O4" i="26"/>
  <c r="P4" i="26"/>
  <c r="I21" i="26"/>
  <c r="H21" i="26"/>
  <c r="G21" i="26"/>
  <c r="I20" i="26"/>
  <c r="H20" i="26"/>
  <c r="G20" i="26"/>
  <c r="I19" i="26"/>
  <c r="H19" i="26"/>
  <c r="G19" i="26"/>
  <c r="I18" i="26"/>
  <c r="H18" i="26"/>
  <c r="G18" i="26"/>
  <c r="I17" i="26"/>
  <c r="H17" i="26"/>
  <c r="G17" i="26"/>
  <c r="I16" i="26"/>
  <c r="H16" i="26"/>
  <c r="G16" i="26"/>
  <c r="U31" i="24"/>
  <c r="T31" i="24"/>
  <c r="S31" i="24"/>
  <c r="U30" i="24"/>
  <c r="T30" i="24"/>
  <c r="S30" i="24"/>
  <c r="U29" i="24"/>
  <c r="T29" i="24"/>
  <c r="S29" i="24"/>
  <c r="U28" i="24"/>
  <c r="T28" i="24"/>
  <c r="S28" i="24"/>
  <c r="U27" i="24"/>
  <c r="T27" i="24"/>
  <c r="S27" i="24"/>
  <c r="U26" i="24"/>
  <c r="T26" i="24"/>
  <c r="S26" i="24"/>
  <c r="F43" i="22"/>
  <c r="E43" i="22"/>
  <c r="D43" i="22"/>
  <c r="F42" i="22"/>
  <c r="E42" i="22"/>
  <c r="D42" i="22"/>
  <c r="F41" i="22"/>
  <c r="E41" i="22"/>
  <c r="D41" i="22"/>
  <c r="F40" i="22"/>
  <c r="E40" i="22"/>
  <c r="D40" i="22"/>
  <c r="F39" i="22"/>
  <c r="E39" i="22"/>
  <c r="D39" i="22"/>
  <c r="F38" i="22"/>
  <c r="E38" i="22"/>
  <c r="D38" i="22"/>
  <c r="I17" i="1"/>
  <c r="H21" i="1"/>
  <c r="H20" i="1"/>
  <c r="H19" i="1"/>
  <c r="H18" i="1"/>
  <c r="H17" i="1"/>
  <c r="G21" i="1"/>
  <c r="G20" i="1"/>
  <c r="G19" i="1"/>
  <c r="G18" i="1"/>
  <c r="F21" i="26"/>
  <c r="E21" i="26"/>
  <c r="D21" i="26"/>
  <c r="F20" i="26"/>
  <c r="E20" i="26"/>
  <c r="D20" i="26"/>
  <c r="F19" i="26"/>
  <c r="E19" i="26"/>
  <c r="D19" i="26"/>
  <c r="F18" i="26"/>
  <c r="E18" i="26"/>
  <c r="D18" i="26"/>
  <c r="F17" i="26"/>
  <c r="E17" i="26"/>
  <c r="D17" i="26"/>
  <c r="F16" i="26"/>
  <c r="E16" i="26"/>
  <c r="D16" i="26"/>
  <c r="I15" i="26"/>
  <c r="H15" i="26"/>
  <c r="G15" i="26"/>
  <c r="F15" i="26"/>
  <c r="E15" i="26"/>
  <c r="D15" i="26"/>
  <c r="I14" i="26"/>
  <c r="H14" i="26"/>
  <c r="G14" i="26"/>
  <c r="F14" i="26"/>
  <c r="E14" i="26"/>
  <c r="D14" i="26"/>
  <c r="I13" i="26"/>
  <c r="H13" i="26"/>
  <c r="G13" i="26"/>
  <c r="F13" i="26"/>
  <c r="E13" i="26"/>
  <c r="D13" i="26"/>
  <c r="I12" i="26"/>
  <c r="H12" i="26"/>
  <c r="G12" i="26"/>
  <c r="F12" i="26"/>
  <c r="E12" i="26"/>
  <c r="D12" i="26"/>
  <c r="I11" i="26"/>
  <c r="H11" i="26"/>
  <c r="G11" i="26"/>
  <c r="F11" i="26"/>
  <c r="E11" i="26"/>
  <c r="D11" i="26"/>
  <c r="I10" i="26"/>
  <c r="H10" i="26"/>
  <c r="G10" i="26"/>
  <c r="F10" i="26"/>
  <c r="E10" i="26"/>
  <c r="D10" i="26"/>
  <c r="I9" i="26"/>
  <c r="H9" i="26"/>
  <c r="G9" i="26"/>
  <c r="F9" i="26"/>
  <c r="E9" i="26"/>
  <c r="D9" i="26"/>
  <c r="I8" i="26"/>
  <c r="H8" i="26"/>
  <c r="G8" i="26"/>
  <c r="F8" i="26"/>
  <c r="E8" i="26"/>
  <c r="D8" i="26"/>
  <c r="I7" i="26"/>
  <c r="H7" i="26"/>
  <c r="G7" i="26"/>
  <c r="F7" i="26"/>
  <c r="E7" i="26"/>
  <c r="D7" i="26"/>
  <c r="I6" i="26"/>
  <c r="H6" i="26"/>
  <c r="G6" i="26"/>
  <c r="F6" i="26"/>
  <c r="E6" i="26"/>
  <c r="D6" i="26"/>
  <c r="I5" i="26"/>
  <c r="H5" i="26"/>
  <c r="G5" i="26"/>
  <c r="F5" i="26"/>
  <c r="E5" i="26"/>
  <c r="D5" i="26"/>
  <c r="I4" i="26"/>
  <c r="H4" i="26"/>
  <c r="G4" i="26"/>
  <c r="F4" i="26"/>
  <c r="E4" i="26"/>
  <c r="D4" i="26"/>
  <c r="P4" i="24" l="1"/>
  <c r="Q4" i="24"/>
  <c r="R4" i="24"/>
  <c r="S4" i="24"/>
  <c r="T4" i="24"/>
  <c r="U4" i="24"/>
  <c r="P5" i="24"/>
  <c r="Q5" i="24"/>
  <c r="R5" i="24"/>
  <c r="S5" i="24"/>
  <c r="T5" i="24"/>
  <c r="U5" i="24"/>
  <c r="P6" i="24"/>
  <c r="Q6" i="24"/>
  <c r="R6" i="24"/>
  <c r="S6" i="24"/>
  <c r="T6" i="24"/>
  <c r="U6" i="24"/>
  <c r="P7" i="24"/>
  <c r="Q7" i="24"/>
  <c r="R7" i="24"/>
  <c r="S7" i="24"/>
  <c r="T7" i="24"/>
  <c r="U7" i="24"/>
  <c r="P8" i="24"/>
  <c r="Q8" i="24"/>
  <c r="R8" i="24"/>
  <c r="S8" i="24"/>
  <c r="T8" i="24"/>
  <c r="U8" i="24"/>
  <c r="P9" i="24"/>
  <c r="Q9" i="24"/>
  <c r="R9" i="24"/>
  <c r="S9" i="24"/>
  <c r="T9" i="24"/>
  <c r="U9" i="24"/>
  <c r="P17" i="24"/>
  <c r="Q17" i="24"/>
  <c r="R17" i="24"/>
  <c r="S17" i="24"/>
  <c r="T17" i="24"/>
  <c r="U17" i="24"/>
  <c r="P18" i="24"/>
  <c r="Q18" i="24"/>
  <c r="R18" i="24"/>
  <c r="S18" i="24"/>
  <c r="T18" i="24"/>
  <c r="U18" i="24"/>
  <c r="P19" i="24"/>
  <c r="Q19" i="24"/>
  <c r="R19" i="24"/>
  <c r="S19" i="24"/>
  <c r="T19" i="24"/>
  <c r="U19" i="24"/>
  <c r="P20" i="24"/>
  <c r="Q20" i="24"/>
  <c r="R20" i="24"/>
  <c r="S20" i="24"/>
  <c r="T20" i="24"/>
  <c r="U20" i="24"/>
  <c r="P21" i="24"/>
  <c r="Q21" i="24"/>
  <c r="R21" i="24"/>
  <c r="S21" i="24"/>
  <c r="T21" i="24"/>
  <c r="U21" i="24"/>
  <c r="P22" i="24"/>
  <c r="Q22" i="24"/>
  <c r="R22" i="24"/>
  <c r="S22" i="24"/>
  <c r="T22" i="24"/>
  <c r="U22" i="24"/>
  <c r="P26" i="24"/>
  <c r="Q26" i="24"/>
  <c r="R26" i="24"/>
  <c r="P27" i="24"/>
  <c r="Q27" i="24"/>
  <c r="R27" i="24"/>
  <c r="P28" i="24"/>
  <c r="Q28" i="24"/>
  <c r="R28" i="24"/>
  <c r="P29" i="24"/>
  <c r="Q29" i="24"/>
  <c r="R29" i="24"/>
  <c r="P30" i="24"/>
  <c r="Q30" i="24"/>
  <c r="R30" i="24"/>
  <c r="P31" i="24"/>
  <c r="Q31" i="24"/>
  <c r="R31" i="24"/>
  <c r="D26" i="22"/>
  <c r="D27" i="22"/>
  <c r="D28" i="22"/>
  <c r="D29" i="22"/>
  <c r="D30" i="22"/>
  <c r="D31" i="22"/>
  <c r="D32" i="22"/>
  <c r="D33" i="22"/>
  <c r="D34" i="22"/>
  <c r="D35" i="22"/>
  <c r="D36" i="22"/>
  <c r="D37" i="22"/>
  <c r="F21" i="22"/>
  <c r="E21" i="22"/>
  <c r="D21" i="22"/>
  <c r="F20" i="22"/>
  <c r="E20" i="22"/>
  <c r="D20" i="22"/>
  <c r="F19" i="22"/>
  <c r="E19" i="22"/>
  <c r="D19" i="22"/>
  <c r="F18" i="22"/>
  <c r="E18" i="22"/>
  <c r="D18" i="22"/>
  <c r="F17" i="22"/>
  <c r="E17" i="22"/>
  <c r="D17" i="22"/>
  <c r="F16" i="22"/>
  <c r="E16" i="22"/>
  <c r="D16" i="22"/>
  <c r="F37" i="22"/>
  <c r="E37" i="22"/>
  <c r="F15" i="22"/>
  <c r="E15" i="22"/>
  <c r="D15" i="22"/>
  <c r="F36" i="22"/>
  <c r="E36" i="22"/>
  <c r="F14" i="22"/>
  <c r="E14" i="22"/>
  <c r="D14" i="22"/>
  <c r="F35" i="22"/>
  <c r="E35" i="22"/>
  <c r="F13" i="22"/>
  <c r="E13" i="22"/>
  <c r="D13" i="22"/>
  <c r="F34" i="22"/>
  <c r="E34" i="22"/>
  <c r="F12" i="22"/>
  <c r="E12" i="22"/>
  <c r="D12" i="22"/>
  <c r="F33" i="22"/>
  <c r="E33" i="22"/>
  <c r="F11" i="22"/>
  <c r="E11" i="22"/>
  <c r="D11" i="22"/>
  <c r="F32" i="22"/>
  <c r="E32" i="22"/>
  <c r="F10" i="22"/>
  <c r="E10" i="22"/>
  <c r="D10" i="22"/>
  <c r="F31" i="22"/>
  <c r="E31" i="22"/>
  <c r="F9" i="22"/>
  <c r="E9" i="22"/>
  <c r="D9" i="22"/>
  <c r="F30" i="22"/>
  <c r="E30" i="22"/>
  <c r="F8" i="22"/>
  <c r="E8" i="22"/>
  <c r="D8" i="22"/>
  <c r="F29" i="22"/>
  <c r="E29" i="22"/>
  <c r="F7" i="22"/>
  <c r="E7" i="22"/>
  <c r="D7" i="22"/>
  <c r="F28" i="22"/>
  <c r="E28" i="22"/>
  <c r="F6" i="22"/>
  <c r="E6" i="22"/>
  <c r="D6" i="22"/>
  <c r="F27" i="22"/>
  <c r="E27" i="22"/>
  <c r="F5" i="22"/>
  <c r="E5" i="22"/>
  <c r="D5" i="22"/>
  <c r="F26" i="22"/>
  <c r="E26" i="22"/>
  <c r="F4" i="22"/>
  <c r="E4" i="22"/>
  <c r="D4" i="22"/>
  <c r="I21" i="1" l="1"/>
  <c r="I20" i="1"/>
  <c r="I19" i="1"/>
  <c r="I18" i="1"/>
  <c r="G17" i="1"/>
  <c r="F21" i="1"/>
  <c r="F20" i="1"/>
  <c r="F19" i="1"/>
  <c r="F18" i="1"/>
  <c r="F17" i="1"/>
  <c r="E20" i="1"/>
  <c r="E19" i="1"/>
  <c r="E18" i="1"/>
  <c r="E21" i="1"/>
  <c r="E17" i="1"/>
  <c r="D21" i="1"/>
  <c r="D20" i="1"/>
  <c r="D19" i="1"/>
  <c r="D18" i="1"/>
  <c r="D17" i="1"/>
  <c r="I15" i="1"/>
  <c r="I14" i="1"/>
  <c r="I13" i="1"/>
  <c r="I12" i="1"/>
  <c r="I11" i="1"/>
  <c r="H15" i="1"/>
  <c r="H14" i="1"/>
  <c r="H13" i="1"/>
  <c r="H12" i="1"/>
  <c r="H11" i="1"/>
  <c r="G15" i="1"/>
  <c r="G14" i="1"/>
  <c r="G13" i="1"/>
  <c r="G12" i="1"/>
  <c r="G11" i="1"/>
  <c r="F15" i="1"/>
  <c r="F14" i="1"/>
  <c r="F13" i="1"/>
  <c r="F12" i="1"/>
  <c r="F11" i="1"/>
  <c r="E15" i="1"/>
  <c r="E14" i="1"/>
  <c r="E12" i="1"/>
  <c r="E13" i="1"/>
  <c r="E11" i="1"/>
  <c r="D15" i="1"/>
  <c r="D14" i="1"/>
  <c r="D13" i="1"/>
  <c r="D12" i="1"/>
  <c r="D11" i="1"/>
  <c r="I9" i="1"/>
  <c r="I8" i="1"/>
  <c r="I7" i="1"/>
  <c r="I6" i="1"/>
  <c r="H9" i="1"/>
  <c r="H8" i="1"/>
  <c r="H7" i="1"/>
  <c r="H6" i="1"/>
  <c r="G9" i="1"/>
  <c r="G8" i="1"/>
  <c r="G7" i="1"/>
  <c r="G6" i="1"/>
  <c r="F9" i="1"/>
  <c r="F8" i="1"/>
  <c r="F7" i="1"/>
  <c r="F6" i="1"/>
  <c r="E9" i="1"/>
  <c r="E8" i="1"/>
  <c r="E7" i="1"/>
  <c r="E6" i="1"/>
  <c r="D9" i="1"/>
  <c r="D8" i="1"/>
  <c r="D7" i="1"/>
  <c r="D6" i="1"/>
  <c r="I5" i="1"/>
  <c r="H5" i="1"/>
  <c r="G5" i="1"/>
  <c r="F5" i="1"/>
  <c r="E5" i="1"/>
  <c r="D5" i="1"/>
  <c r="F28" i="20"/>
  <c r="E28" i="20"/>
  <c r="D28" i="20"/>
  <c r="F15" i="20"/>
  <c r="E15" i="20"/>
  <c r="D15" i="20"/>
  <c r="F2" i="20"/>
  <c r="E2" i="20"/>
  <c r="D2" i="20"/>
  <c r="I16" i="1"/>
  <c r="I10" i="1"/>
  <c r="I4" i="1"/>
  <c r="F28" i="19"/>
  <c r="E28" i="19"/>
  <c r="D28" i="19"/>
  <c r="F15" i="19"/>
  <c r="E15" i="19"/>
  <c r="D15" i="19"/>
  <c r="F2" i="19"/>
  <c r="E2" i="19"/>
  <c r="D2" i="19"/>
  <c r="F28" i="18"/>
  <c r="E28" i="18"/>
  <c r="D28" i="18"/>
  <c r="F15" i="18"/>
  <c r="E15" i="18"/>
  <c r="D15" i="18"/>
  <c r="F2" i="18"/>
  <c r="E2" i="18"/>
  <c r="D2" i="18"/>
  <c r="H16" i="1"/>
  <c r="H10" i="1"/>
  <c r="H4" i="1"/>
  <c r="F28" i="17"/>
  <c r="E28" i="17"/>
  <c r="D28" i="17"/>
  <c r="F15" i="17"/>
  <c r="E15" i="17"/>
  <c r="D15" i="17"/>
  <c r="F2" i="17"/>
  <c r="E2" i="17"/>
  <c r="D2" i="17"/>
  <c r="F4" i="1"/>
  <c r="G4" i="1"/>
  <c r="G16" i="1"/>
  <c r="G10" i="1"/>
  <c r="F28" i="16"/>
  <c r="E28" i="16"/>
  <c r="D28" i="16"/>
  <c r="F15" i="16"/>
  <c r="E15" i="16"/>
  <c r="D15" i="16"/>
  <c r="F2" i="16"/>
  <c r="E2" i="16"/>
  <c r="D2" i="16"/>
  <c r="F28" i="15"/>
  <c r="E28" i="15"/>
  <c r="D28" i="15"/>
  <c r="F15" i="15"/>
  <c r="E15" i="15"/>
  <c r="D15" i="15"/>
  <c r="F2" i="15"/>
  <c r="E2" i="15"/>
  <c r="D2" i="15"/>
  <c r="F16" i="1"/>
  <c r="E16" i="1"/>
  <c r="D16" i="1"/>
  <c r="F10" i="1"/>
  <c r="E10" i="1"/>
  <c r="D10" i="1"/>
  <c r="E2" i="14"/>
  <c r="F28" i="14"/>
  <c r="E28" i="14"/>
  <c r="D28" i="14"/>
  <c r="F15" i="14"/>
  <c r="E15" i="14"/>
  <c r="D15" i="14"/>
  <c r="F2" i="14"/>
  <c r="D2" i="14"/>
  <c r="F28" i="13"/>
  <c r="E28" i="13"/>
  <c r="D28" i="13"/>
  <c r="F15" i="13"/>
  <c r="E15" i="13"/>
  <c r="D15" i="13"/>
  <c r="F2" i="13"/>
  <c r="E2" i="13"/>
  <c r="D2" i="13"/>
  <c r="E4" i="1"/>
  <c r="D4" i="1"/>
  <c r="F28" i="12"/>
  <c r="E28" i="12"/>
  <c r="D28" i="12"/>
  <c r="F15" i="12"/>
  <c r="E15" i="12"/>
  <c r="D15" i="12"/>
  <c r="F2" i="12"/>
  <c r="E2" i="12"/>
  <c r="D2" i="12"/>
  <c r="F28" i="11"/>
  <c r="E28" i="11"/>
  <c r="D28" i="11"/>
  <c r="F15" i="11"/>
  <c r="E15" i="11"/>
  <c r="D15" i="11"/>
  <c r="F2" i="11"/>
  <c r="E2" i="11"/>
  <c r="D2" i="11"/>
  <c r="D28" i="10"/>
  <c r="F28" i="10"/>
  <c r="E28" i="10"/>
  <c r="F15" i="10"/>
  <c r="E15" i="10"/>
  <c r="D15" i="10"/>
  <c r="F2" i="10"/>
  <c r="E2" i="10"/>
  <c r="D2" i="10"/>
  <c r="F15" i="2"/>
  <c r="E15" i="2"/>
  <c r="D15" i="2"/>
  <c r="D28" i="2"/>
  <c r="E28" i="2"/>
  <c r="F28" i="2"/>
  <c r="D2" i="2"/>
  <c r="E2" i="2"/>
  <c r="F2" i="2"/>
</calcChain>
</file>

<file path=xl/sharedStrings.xml><?xml version="1.0" encoding="utf-8"?>
<sst xmlns="http://schemas.openxmlformats.org/spreadsheetml/2006/main" count="349" uniqueCount="43">
  <si>
    <t>n</t>
  </si>
  <si>
    <t>Bolha</t>
  </si>
  <si>
    <t>Seleção</t>
  </si>
  <si>
    <t>Inserção</t>
  </si>
  <si>
    <t>Heapsort</t>
  </si>
  <si>
    <t>Mergesort</t>
  </si>
  <si>
    <t>Quicksort</t>
  </si>
  <si>
    <t>1k</t>
  </si>
  <si>
    <t>5k</t>
  </si>
  <si>
    <t>10k</t>
  </si>
  <si>
    <t>20k</t>
  </si>
  <si>
    <t>50k</t>
  </si>
  <si>
    <t>100k</t>
  </si>
  <si>
    <t>Métrica</t>
  </si>
  <si>
    <t>Aleatórios</t>
  </si>
  <si>
    <t>Número de Comparações</t>
  </si>
  <si>
    <t>Número de Trocas</t>
  </si>
  <si>
    <t>bubble</t>
  </si>
  <si>
    <t>comparações</t>
  </si>
  <si>
    <t>trocas</t>
  </si>
  <si>
    <t>heap</t>
  </si>
  <si>
    <t>insertion</t>
  </si>
  <si>
    <t>tempo (ms)</t>
  </si>
  <si>
    <t>merge</t>
  </si>
  <si>
    <t>quick</t>
  </si>
  <si>
    <t>selection</t>
  </si>
  <si>
    <t>Tempo de Execução (ms)</t>
  </si>
  <si>
    <t>Considerando somente a métrica “tempo de execução” diga qual foi seu o melhor e o pior caso observado para cada método de ordenação?</t>
  </si>
  <si>
    <t>1)</t>
  </si>
  <si>
    <t>R=</t>
  </si>
  <si>
    <t>100 mil</t>
  </si>
  <si>
    <t>melhor</t>
  </si>
  <si>
    <t>pior</t>
  </si>
  <si>
    <t>CASOS</t>
  </si>
  <si>
    <t>Algoritmo</t>
  </si>
  <si>
    <t>1 mil</t>
  </si>
  <si>
    <t>Considerando somente a métrica “quantidade de comparações” diga qual função de n melhor descreve o desempenho de cada método de ordenação?</t>
  </si>
  <si>
    <t>2)</t>
  </si>
  <si>
    <t>Função</t>
  </si>
  <si>
    <t>n² + (n²+n)/2 + n + 1</t>
  </si>
  <si>
    <t>diferença</t>
  </si>
  <si>
    <t>Considerando as métricas “quantidade de trocas” e “quantidade de comparações” faça uma relação entre essas duas métricas e diga uma função que represente tal relação</t>
  </si>
  <si>
    <t>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</si>
</sst>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nonymous Pro"/>
      <family val="3"/>
    </font>
    <font>
      <sz val="10"/>
      <color theme="1"/>
      <name val="Calibri"/>
      <family val="2"/>
      <scheme val="minor"/>
    </font>
    <font>
      <b/>
      <sz val="14"/>
      <color theme="0"/>
      <name val="Consolas"/>
      <family val="3"/>
    </font>
    <font>
      <sz val="10"/>
      <color theme="2" tint="-0.499984740745262"/>
      <name val="Inconsolata"/>
      <family val="3"/>
    </font>
    <font>
      <b/>
      <u/>
      <sz val="11"/>
      <color rgb="FFFF0000"/>
      <name val="Calibri"/>
      <family val="2"/>
      <scheme val="minor"/>
    </font>
    <font>
      <sz val="10"/>
      <color theme="2" tint="-0.89999084444715716"/>
      <name val="Inconsolata"/>
      <family val="3"/>
    </font>
    <font>
      <b/>
      <sz val="11"/>
      <color theme="2" tint="-0.89999084444715716"/>
      <name val="Calibri"/>
      <family val="2"/>
      <scheme val="minor"/>
    </font>
    <font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/>
        <bgColor theme="6"/>
      </patternFill>
    </fill>
  </fills>
  <borders count="2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9"/>
      </left>
      <right style="thin">
        <color theme="9"/>
      </right>
      <top style="double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4" fontId="1" fillId="0" borderId="3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right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16" xfId="0" applyBorder="1"/>
    <xf numFmtId="0" fontId="0" fillId="0" borderId="13" xfId="0" applyBorder="1"/>
    <xf numFmtId="0" fontId="1" fillId="0" borderId="10" xfId="0" applyFont="1" applyBorder="1" applyAlignment="1">
      <alignment horizontal="center" vertical="center"/>
    </xf>
    <xf numFmtId="4" fontId="4" fillId="0" borderId="7" xfId="0" applyNumberFormat="1" applyFont="1" applyBorder="1" applyAlignment="1">
      <alignment horizontal="right"/>
    </xf>
    <xf numFmtId="4" fontId="4" fillId="0" borderId="8" xfId="0" applyNumberFormat="1" applyFont="1" applyBorder="1" applyAlignment="1">
      <alignment horizontal="right"/>
    </xf>
    <xf numFmtId="4" fontId="4" fillId="0" borderId="2" xfId="0" applyNumberFormat="1" applyFont="1" applyBorder="1" applyAlignment="1">
      <alignment horizontal="right"/>
    </xf>
    <xf numFmtId="4" fontId="4" fillId="0" borderId="10" xfId="0" applyNumberFormat="1" applyFont="1" applyBorder="1" applyAlignment="1">
      <alignment horizontal="right"/>
    </xf>
    <xf numFmtId="4" fontId="4" fillId="0" borderId="4" xfId="0" applyNumberFormat="1" applyFont="1" applyBorder="1" applyAlignment="1">
      <alignment horizontal="right"/>
    </xf>
    <xf numFmtId="4" fontId="4" fillId="0" borderId="19" xfId="0" applyNumberFormat="1" applyFont="1" applyBorder="1" applyAlignment="1">
      <alignment horizontal="right"/>
    </xf>
    <xf numFmtId="4" fontId="4" fillId="0" borderId="20" xfId="0" applyNumberFormat="1" applyFont="1" applyBorder="1" applyAlignment="1">
      <alignment horizontal="right"/>
    </xf>
    <xf numFmtId="4" fontId="4" fillId="0" borderId="6" xfId="0" applyNumberFormat="1" applyFont="1" applyBorder="1" applyAlignment="1">
      <alignment horizontal="right"/>
    </xf>
    <xf numFmtId="4" fontId="4" fillId="0" borderId="1" xfId="0" applyNumberFormat="1" applyFont="1" applyBorder="1" applyAlignment="1">
      <alignment horizontal="right"/>
    </xf>
    <xf numFmtId="0" fontId="1" fillId="0" borderId="19" xfId="0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right"/>
    </xf>
    <xf numFmtId="0" fontId="3" fillId="0" borderId="5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21" xfId="0" applyFont="1" applyBorder="1" applyAlignment="1">
      <alignment horizontal="center" wrapText="1"/>
    </xf>
    <xf numFmtId="0" fontId="2" fillId="0" borderId="22" xfId="0" applyFont="1" applyBorder="1" applyAlignment="1">
      <alignment horizontal="center" wrapText="1"/>
    </xf>
    <xf numFmtId="0" fontId="2" fillId="0" borderId="23" xfId="0" applyFont="1" applyBorder="1" applyAlignment="1">
      <alignment horizontal="center" wrapText="1"/>
    </xf>
    <xf numFmtId="0" fontId="5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0" fillId="0" borderId="1" xfId="0" applyBorder="1"/>
    <xf numFmtId="4" fontId="4" fillId="0" borderId="26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6" borderId="28" xfId="0" applyFont="1" applyFill="1" applyBorder="1" applyAlignment="1">
      <alignment horizontal="center" vertical="center"/>
    </xf>
    <xf numFmtId="0" fontId="9" fillId="6" borderId="27" xfId="0" applyFont="1" applyFill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4" fontId="4" fillId="0" borderId="0" xfId="0" applyNumberFormat="1" applyFont="1" applyBorder="1" applyAlignment="1">
      <alignment horizontal="center"/>
    </xf>
    <xf numFmtId="0" fontId="10" fillId="0" borderId="0" xfId="0" applyFont="1" applyAlignment="1">
      <alignment horizontal="left" vertical="center"/>
    </xf>
    <xf numFmtId="4" fontId="10" fillId="0" borderId="0" xfId="0" applyNumberFormat="1" applyFont="1" applyAlignment="1">
      <alignment horizontal="left" vertical="center"/>
    </xf>
  </cellXfs>
  <cellStyles count="1">
    <cellStyle name="Normal" xfId="0" builtinId="0"/>
  </cellStyles>
  <dxfs count="2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Inconsolat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Inconsolat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2" tint="-0.89999084444715716"/>
        <name val="Inconsolat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2"/>
      <tableStyleElement type="headerRow" dxfId="29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 do</a:t>
            </a:r>
            <a:r>
              <a:rPr lang="pt-BR" baseline="0"/>
              <a:t> Número </a:t>
            </a:r>
            <a:r>
              <a:rPr lang="pt-BR"/>
              <a:t>de Comparações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parte2!$P$3</c:f>
              <c:strCache>
                <c:ptCount val="1"/>
                <c:pt idx="0">
                  <c:v>1k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parte2!$N$4:$O$9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Comparações</c:v>
                  </c:pt>
                </c:lvl>
              </c:multiLvlStrCache>
            </c:multiLvlStrRef>
          </c:cat>
          <c:val>
            <c:numRef>
              <c:f>parte2!$P$4:$P$9</c:f>
              <c:numCache>
                <c:formatCode>#,##0.00</c:formatCode>
                <c:ptCount val="6"/>
                <c:pt idx="0">
                  <c:v>217119.5</c:v>
                </c:pt>
                <c:pt idx="1">
                  <c:v>1934.8</c:v>
                </c:pt>
                <c:pt idx="2">
                  <c:v>220236.79999999999</c:v>
                </c:pt>
                <c:pt idx="3">
                  <c:v>10025.6</c:v>
                </c:pt>
                <c:pt idx="4">
                  <c:v>8503.5</c:v>
                </c:pt>
                <c:pt idx="5">
                  <c:v>2944.8</c:v>
                </c:pt>
              </c:numCache>
            </c:numRef>
          </c:val>
        </c:ser>
        <c:ser>
          <c:idx val="1"/>
          <c:order val="1"/>
          <c:tx>
            <c:strRef>
              <c:f>parte2!$Q$3</c:f>
              <c:strCache>
                <c:ptCount val="1"/>
                <c:pt idx="0">
                  <c:v>5k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parte2!$N$4:$O$9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Comparações</c:v>
                  </c:pt>
                </c:lvl>
              </c:multiLvlStrCache>
            </c:multiLvlStrRef>
          </c:cat>
          <c:val>
            <c:numRef>
              <c:f>parte2!$Q$4:$Q$9</c:f>
              <c:numCache>
                <c:formatCode>#,##0.00</c:formatCode>
                <c:ptCount val="6"/>
                <c:pt idx="0">
                  <c:v>5643302.4000000004</c:v>
                </c:pt>
                <c:pt idx="1">
                  <c:v>9567</c:v>
                </c:pt>
                <c:pt idx="2">
                  <c:v>5599468.7999999998</c:v>
                </c:pt>
                <c:pt idx="3">
                  <c:v>64580.6</c:v>
                </c:pt>
                <c:pt idx="4">
                  <c:v>53553.1</c:v>
                </c:pt>
                <c:pt idx="5">
                  <c:v>12549.7</c:v>
                </c:pt>
              </c:numCache>
            </c:numRef>
          </c:val>
        </c:ser>
        <c:ser>
          <c:idx val="2"/>
          <c:order val="2"/>
          <c:tx>
            <c:strRef>
              <c:f>parte2!$R$3</c:f>
              <c:strCache>
                <c:ptCount val="1"/>
                <c:pt idx="0">
                  <c:v>10k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parte2!$N$4:$O$9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Comparações</c:v>
                  </c:pt>
                </c:lvl>
              </c:multiLvlStrCache>
            </c:multiLvlStrRef>
          </c:cat>
          <c:val>
            <c:numRef>
              <c:f>parte2!$R$4:$R$9</c:f>
              <c:numCache>
                <c:formatCode>#,##0.00</c:formatCode>
                <c:ptCount val="6"/>
                <c:pt idx="0">
                  <c:v>22542997.399999999</c:v>
                </c:pt>
                <c:pt idx="1">
                  <c:v>19382</c:v>
                </c:pt>
                <c:pt idx="2">
                  <c:v>22490222.5</c:v>
                </c:pt>
                <c:pt idx="3">
                  <c:v>142255</c:v>
                </c:pt>
                <c:pt idx="4">
                  <c:v>116473.5</c:v>
                </c:pt>
                <c:pt idx="5">
                  <c:v>28452.799999999999</c:v>
                </c:pt>
              </c:numCache>
            </c:numRef>
          </c:val>
        </c:ser>
        <c:ser>
          <c:idx val="3"/>
          <c:order val="3"/>
          <c:tx>
            <c:strRef>
              <c:f>parte2!$S$3</c:f>
              <c:strCache>
                <c:ptCount val="1"/>
                <c:pt idx="0">
                  <c:v>20k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parte2!$N$4:$O$9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Comparações</c:v>
                  </c:pt>
                </c:lvl>
              </c:multiLvlStrCache>
            </c:multiLvlStrRef>
          </c:cat>
          <c:val>
            <c:numRef>
              <c:f>parte2!$S$4:$S$9</c:f>
              <c:numCache>
                <c:formatCode>#,##0.00</c:formatCode>
                <c:ptCount val="6"/>
                <c:pt idx="0">
                  <c:v>90171139.099999994</c:v>
                </c:pt>
                <c:pt idx="1">
                  <c:v>38592.300000000003</c:v>
                </c:pt>
                <c:pt idx="2">
                  <c:v>90025660.200000003</c:v>
                </c:pt>
                <c:pt idx="3">
                  <c:v>309796.2</c:v>
                </c:pt>
                <c:pt idx="4">
                  <c:v>252198.5</c:v>
                </c:pt>
                <c:pt idx="5">
                  <c:v>51680.7</c:v>
                </c:pt>
              </c:numCache>
            </c:numRef>
          </c:val>
        </c:ser>
        <c:ser>
          <c:idx val="4"/>
          <c:order val="4"/>
          <c:tx>
            <c:strRef>
              <c:f>parte2!$T$3</c:f>
              <c:strCache>
                <c:ptCount val="1"/>
                <c:pt idx="0">
                  <c:v>50k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parte2!$N$4:$O$9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Comparações</c:v>
                  </c:pt>
                </c:lvl>
              </c:multiLvlStrCache>
            </c:multiLvlStrRef>
          </c:cat>
          <c:val>
            <c:numRef>
              <c:f>parte2!$T$4:$T$9</c:f>
              <c:numCache>
                <c:formatCode>#,##0.00</c:formatCode>
                <c:ptCount val="6"/>
                <c:pt idx="0">
                  <c:v>561640393.39999998</c:v>
                </c:pt>
                <c:pt idx="1">
                  <c:v>96472.5</c:v>
                </c:pt>
                <c:pt idx="2">
                  <c:v>561655771.89999998</c:v>
                </c:pt>
                <c:pt idx="3">
                  <c:v>856878</c:v>
                </c:pt>
                <c:pt idx="4">
                  <c:v>692427.4</c:v>
                </c:pt>
                <c:pt idx="5">
                  <c:v>156496.29999999999</c:v>
                </c:pt>
              </c:numCache>
            </c:numRef>
          </c:val>
        </c:ser>
        <c:ser>
          <c:idx val="5"/>
          <c:order val="5"/>
          <c:tx>
            <c:strRef>
              <c:f>parte2!$U$3</c:f>
              <c:strCache>
                <c:ptCount val="1"/>
                <c:pt idx="0">
                  <c:v>100k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parte2!$N$4:$O$9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Comparações</c:v>
                  </c:pt>
                </c:lvl>
              </c:multiLvlStrCache>
            </c:multiLvlStrRef>
          </c:cat>
          <c:val>
            <c:numRef>
              <c:f>parte2!$U$4:$U$9</c:f>
              <c:numCache>
                <c:formatCode>#,##0.00</c:formatCode>
                <c:ptCount val="6"/>
                <c:pt idx="0">
                  <c:v>2249324511.6999998</c:v>
                </c:pt>
                <c:pt idx="1">
                  <c:v>192833.9</c:v>
                </c:pt>
                <c:pt idx="2">
                  <c:v>2251491017.6999998</c:v>
                </c:pt>
                <c:pt idx="3">
                  <c:v>1841105.9</c:v>
                </c:pt>
                <c:pt idx="4">
                  <c:v>1479957.7</c:v>
                </c:pt>
                <c:pt idx="5">
                  <c:v>251642.2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10007224"/>
        <c:axId val="310006048"/>
      </c:barChart>
      <c:catAx>
        <c:axId val="310007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0006048"/>
        <c:crosses val="autoZero"/>
        <c:auto val="1"/>
        <c:lblAlgn val="ctr"/>
        <c:lblOffset val="100"/>
        <c:noMultiLvlLbl val="0"/>
      </c:catAx>
      <c:valAx>
        <c:axId val="3100060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0007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 do Número de Trocas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parte2!$P$16</c:f>
              <c:strCache>
                <c:ptCount val="1"/>
                <c:pt idx="0">
                  <c:v>1k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parte2!$N$17:$O$22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Trocas</c:v>
                  </c:pt>
                </c:lvl>
              </c:multiLvlStrCache>
            </c:multiLvlStrRef>
          </c:cat>
          <c:val>
            <c:numRef>
              <c:f>parte2!$P$17:$P$22</c:f>
              <c:numCache>
                <c:formatCode>#,##0.00</c:formatCode>
                <c:ptCount val="6"/>
                <c:pt idx="0">
                  <c:v>217119.5</c:v>
                </c:pt>
                <c:pt idx="1">
                  <c:v>891.6</c:v>
                </c:pt>
                <c:pt idx="2">
                  <c:v>220236.79999999999</c:v>
                </c:pt>
                <c:pt idx="3">
                  <c:v>8294.5</c:v>
                </c:pt>
                <c:pt idx="4">
                  <c:v>8503.5</c:v>
                </c:pt>
                <c:pt idx="5">
                  <c:v>3826.4</c:v>
                </c:pt>
              </c:numCache>
            </c:numRef>
          </c:val>
        </c:ser>
        <c:ser>
          <c:idx val="1"/>
          <c:order val="1"/>
          <c:tx>
            <c:strRef>
              <c:f>parte2!$Q$16</c:f>
              <c:strCache>
                <c:ptCount val="1"/>
                <c:pt idx="0">
                  <c:v>5k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parte2!$N$17:$O$22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Trocas</c:v>
                  </c:pt>
                </c:lvl>
              </c:multiLvlStrCache>
            </c:multiLvlStrRef>
          </c:cat>
          <c:val>
            <c:numRef>
              <c:f>parte2!$Q$17:$Q$22</c:f>
              <c:numCache>
                <c:formatCode>#,##0.00</c:formatCode>
                <c:ptCount val="6"/>
                <c:pt idx="0">
                  <c:v>5643302.4000000004</c:v>
                </c:pt>
                <c:pt idx="1">
                  <c:v>4513</c:v>
                </c:pt>
                <c:pt idx="2">
                  <c:v>5599468.7999999998</c:v>
                </c:pt>
                <c:pt idx="3">
                  <c:v>51817</c:v>
                </c:pt>
                <c:pt idx="4">
                  <c:v>53553.1</c:v>
                </c:pt>
                <c:pt idx="5">
                  <c:v>24955.3</c:v>
                </c:pt>
              </c:numCache>
            </c:numRef>
          </c:val>
        </c:ser>
        <c:ser>
          <c:idx val="2"/>
          <c:order val="2"/>
          <c:tx>
            <c:strRef>
              <c:f>parte2!$R$16</c:f>
              <c:strCache>
                <c:ptCount val="1"/>
                <c:pt idx="0">
                  <c:v>10k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parte2!$N$17:$O$22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Trocas</c:v>
                  </c:pt>
                </c:lvl>
              </c:multiLvlStrCache>
            </c:multiLvlStrRef>
          </c:cat>
          <c:val>
            <c:numRef>
              <c:f>parte2!$R$17:$R$22</c:f>
              <c:numCache>
                <c:formatCode>#,##0.00</c:formatCode>
                <c:ptCount val="6"/>
                <c:pt idx="0">
                  <c:v>22542997.399999999</c:v>
                </c:pt>
                <c:pt idx="1">
                  <c:v>9023.5</c:v>
                </c:pt>
                <c:pt idx="2">
                  <c:v>2251491017.6999998</c:v>
                </c:pt>
                <c:pt idx="3">
                  <c:v>112662</c:v>
                </c:pt>
                <c:pt idx="4">
                  <c:v>116473.5</c:v>
                </c:pt>
                <c:pt idx="5">
                  <c:v>54714.3</c:v>
                </c:pt>
              </c:numCache>
            </c:numRef>
          </c:val>
        </c:ser>
        <c:ser>
          <c:idx val="3"/>
          <c:order val="3"/>
          <c:tx>
            <c:strRef>
              <c:f>parte2!$S$16</c:f>
              <c:strCache>
                <c:ptCount val="1"/>
                <c:pt idx="0">
                  <c:v>20k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parte2!$N$17:$O$22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Trocas</c:v>
                  </c:pt>
                </c:lvl>
              </c:multiLvlStrCache>
            </c:multiLvlStrRef>
          </c:cat>
          <c:val>
            <c:numRef>
              <c:f>parte2!$S$17:$S$22</c:f>
              <c:numCache>
                <c:formatCode>#,##0.00</c:formatCode>
                <c:ptCount val="6"/>
                <c:pt idx="0">
                  <c:v>90171139.099999994</c:v>
                </c:pt>
                <c:pt idx="1">
                  <c:v>17978.400000000001</c:v>
                </c:pt>
                <c:pt idx="2">
                  <c:v>90025660.200000003</c:v>
                </c:pt>
                <c:pt idx="3">
                  <c:v>243278.6</c:v>
                </c:pt>
                <c:pt idx="4">
                  <c:v>252198.5</c:v>
                </c:pt>
                <c:pt idx="5">
                  <c:v>119600.2</c:v>
                </c:pt>
              </c:numCache>
            </c:numRef>
          </c:val>
        </c:ser>
        <c:ser>
          <c:idx val="4"/>
          <c:order val="4"/>
          <c:tx>
            <c:strRef>
              <c:f>parte2!$T$16</c:f>
              <c:strCache>
                <c:ptCount val="1"/>
                <c:pt idx="0">
                  <c:v>50k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parte2!$N$17:$O$22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Trocas</c:v>
                  </c:pt>
                </c:lvl>
              </c:multiLvlStrCache>
            </c:multiLvlStrRef>
          </c:cat>
          <c:val>
            <c:numRef>
              <c:f>parte2!$T$17:$T$22</c:f>
              <c:numCache>
                <c:formatCode>#,##0.00</c:formatCode>
                <c:ptCount val="6"/>
                <c:pt idx="0">
                  <c:v>561640393.39999998</c:v>
                </c:pt>
                <c:pt idx="1">
                  <c:v>45021.8</c:v>
                </c:pt>
                <c:pt idx="2">
                  <c:v>561655771.89999998</c:v>
                </c:pt>
                <c:pt idx="3">
                  <c:v>665041</c:v>
                </c:pt>
                <c:pt idx="4">
                  <c:v>692427.4</c:v>
                </c:pt>
                <c:pt idx="5">
                  <c:v>330773.5</c:v>
                </c:pt>
              </c:numCache>
            </c:numRef>
          </c:val>
        </c:ser>
        <c:ser>
          <c:idx val="5"/>
          <c:order val="5"/>
          <c:tx>
            <c:strRef>
              <c:f>parte2!$U$16</c:f>
              <c:strCache>
                <c:ptCount val="1"/>
                <c:pt idx="0">
                  <c:v>100k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multiLvlStrRef>
              <c:f>parte2!$N$17:$O$22</c:f>
              <c:multiLvlStrCache>
                <c:ptCount val="6"/>
                <c:lvl>
                  <c:pt idx="0">
                    <c:v>Bolha</c:v>
                  </c:pt>
                  <c:pt idx="1">
                    <c:v>Seleção</c:v>
                  </c:pt>
                  <c:pt idx="2">
                    <c:v>Inserção</c:v>
                  </c:pt>
                  <c:pt idx="3">
                    <c:v>Heapsort</c:v>
                  </c:pt>
                  <c:pt idx="4">
                    <c:v>Mergesort</c:v>
                  </c:pt>
                  <c:pt idx="5">
                    <c:v>Quicksort</c:v>
                  </c:pt>
                </c:lvl>
                <c:lvl>
                  <c:pt idx="0">
                    <c:v>Número de Trocas</c:v>
                  </c:pt>
                </c:lvl>
              </c:multiLvlStrCache>
            </c:multiLvlStrRef>
          </c:cat>
          <c:val>
            <c:numRef>
              <c:f>parte2!$U$17:$U$22</c:f>
              <c:numCache>
                <c:formatCode>#,##0.00</c:formatCode>
                <c:ptCount val="6"/>
                <c:pt idx="0">
                  <c:v>2249324511.6999998</c:v>
                </c:pt>
                <c:pt idx="1">
                  <c:v>89999</c:v>
                </c:pt>
                <c:pt idx="2">
                  <c:v>2251491017.6999998</c:v>
                </c:pt>
                <c:pt idx="3">
                  <c:v>1419096.2</c:v>
                </c:pt>
                <c:pt idx="4">
                  <c:v>1479957.7</c:v>
                </c:pt>
                <c:pt idx="5">
                  <c:v>712750.4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21571576"/>
        <c:axId val="321572752"/>
      </c:barChart>
      <c:catAx>
        <c:axId val="321571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1572752"/>
        <c:crosses val="autoZero"/>
        <c:auto val="1"/>
        <c:lblAlgn val="ctr"/>
        <c:lblOffset val="100"/>
        <c:noMultiLvlLbl val="0"/>
      </c:catAx>
      <c:valAx>
        <c:axId val="3215727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1571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 do Tempo de Execução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parte2!$P$25</c:f>
              <c:strCache>
                <c:ptCount val="1"/>
                <c:pt idx="0">
                  <c:v>1k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parte2!$N$26:$O$31</c15:sqref>
                  </c15:fullRef>
                  <c15:levelRef>
                    <c15:sqref>parte2!$O$26:$O$31</c15:sqref>
                  </c15:levelRef>
                </c:ext>
              </c:extLst>
              <c:f>parte2!$O$26:$O$31</c:f>
              <c:strCache>
                <c:ptCount val="6"/>
                <c:pt idx="0">
                  <c:v>Bolha</c:v>
                </c:pt>
                <c:pt idx="1">
                  <c:v>Seleção</c:v>
                </c:pt>
                <c:pt idx="2">
                  <c:v>Inserção</c:v>
                </c:pt>
                <c:pt idx="3">
                  <c:v>Heapsort</c:v>
                </c:pt>
                <c:pt idx="4">
                  <c:v>Mergesort</c:v>
                </c:pt>
                <c:pt idx="5">
                  <c:v>Quicksort</c:v>
                </c:pt>
              </c:strCache>
            </c:strRef>
          </c:cat>
          <c:val>
            <c:numRef>
              <c:f>parte2!$P$26:$P$31</c:f>
              <c:numCache>
                <c:formatCode>#,##0.00</c:formatCode>
                <c:ptCount val="6"/>
                <c:pt idx="0">
                  <c:v>4.6757</c:v>
                </c:pt>
                <c:pt idx="1">
                  <c:v>1.22496</c:v>
                </c:pt>
                <c:pt idx="2">
                  <c:v>2.2249699999999999</c:v>
                </c:pt>
                <c:pt idx="3">
                  <c:v>0.23719999999999999</c:v>
                </c:pt>
                <c:pt idx="4">
                  <c:v>0.17358000000000001</c:v>
                </c:pt>
                <c:pt idx="5">
                  <c:v>9.4659999999999994E-2</c:v>
                </c:pt>
              </c:numCache>
            </c:numRef>
          </c:val>
        </c:ser>
        <c:ser>
          <c:idx val="1"/>
          <c:order val="1"/>
          <c:tx>
            <c:strRef>
              <c:f>parte2!$Q$25</c:f>
              <c:strCache>
                <c:ptCount val="1"/>
                <c:pt idx="0">
                  <c:v>5k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parte2!$N$26:$O$31</c15:sqref>
                  </c15:fullRef>
                  <c15:levelRef>
                    <c15:sqref>parte2!$O$26:$O$31</c15:sqref>
                  </c15:levelRef>
                </c:ext>
              </c:extLst>
              <c:f>parte2!$O$26:$O$31</c:f>
              <c:strCache>
                <c:ptCount val="6"/>
                <c:pt idx="0">
                  <c:v>Bolha</c:v>
                </c:pt>
                <c:pt idx="1">
                  <c:v>Seleção</c:v>
                </c:pt>
                <c:pt idx="2">
                  <c:v>Inserção</c:v>
                </c:pt>
                <c:pt idx="3">
                  <c:v>Heapsort</c:v>
                </c:pt>
                <c:pt idx="4">
                  <c:v>Mergesort</c:v>
                </c:pt>
                <c:pt idx="5">
                  <c:v>Quicksort</c:v>
                </c:pt>
              </c:strCache>
            </c:strRef>
          </c:cat>
          <c:val>
            <c:numRef>
              <c:f>parte2!$Q$26:$Q$31</c:f>
              <c:numCache>
                <c:formatCode>#,##0.00</c:formatCode>
                <c:ptCount val="6"/>
                <c:pt idx="0">
                  <c:v>121.74323999999999</c:v>
                </c:pt>
                <c:pt idx="1">
                  <c:v>29.090519999999991</c:v>
                </c:pt>
                <c:pt idx="2">
                  <c:v>56.5687</c:v>
                </c:pt>
                <c:pt idx="3">
                  <c:v>1.3660000000000001</c:v>
                </c:pt>
                <c:pt idx="4">
                  <c:v>1.0823800000000001</c:v>
                </c:pt>
                <c:pt idx="5">
                  <c:v>0.51195000000000013</c:v>
                </c:pt>
              </c:numCache>
            </c:numRef>
          </c:val>
        </c:ser>
        <c:ser>
          <c:idx val="2"/>
          <c:order val="2"/>
          <c:tx>
            <c:strRef>
              <c:f>parte2!$R$25</c:f>
              <c:strCache>
                <c:ptCount val="1"/>
                <c:pt idx="0">
                  <c:v>10k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parte2!$N$26:$O$31</c15:sqref>
                  </c15:fullRef>
                  <c15:levelRef>
                    <c15:sqref>parte2!$O$26:$O$31</c15:sqref>
                  </c15:levelRef>
                </c:ext>
              </c:extLst>
              <c:f>parte2!$O$26:$O$31</c:f>
              <c:strCache>
                <c:ptCount val="6"/>
                <c:pt idx="0">
                  <c:v>Bolha</c:v>
                </c:pt>
                <c:pt idx="1">
                  <c:v>Seleção</c:v>
                </c:pt>
                <c:pt idx="2">
                  <c:v>Inserção</c:v>
                </c:pt>
                <c:pt idx="3">
                  <c:v>Heapsort</c:v>
                </c:pt>
                <c:pt idx="4">
                  <c:v>Mergesort</c:v>
                </c:pt>
                <c:pt idx="5">
                  <c:v>Quicksort</c:v>
                </c:pt>
              </c:strCache>
            </c:strRef>
          </c:cat>
          <c:val>
            <c:numRef>
              <c:f>parte2!$R$26:$R$31</c:f>
              <c:numCache>
                <c:formatCode>#,##0.00</c:formatCode>
                <c:ptCount val="6"/>
                <c:pt idx="0">
                  <c:v>489.18585000000002</c:v>
                </c:pt>
                <c:pt idx="1">
                  <c:v>116.29857999999999</c:v>
                </c:pt>
                <c:pt idx="2">
                  <c:v>221.58328999999998</c:v>
                </c:pt>
                <c:pt idx="3">
                  <c:v>3.1580599999999999</c:v>
                </c:pt>
                <c:pt idx="4">
                  <c:v>2.3306800000000001</c:v>
                </c:pt>
                <c:pt idx="5">
                  <c:v>1.1559699999999999</c:v>
                </c:pt>
              </c:numCache>
            </c:numRef>
          </c:val>
        </c:ser>
        <c:ser>
          <c:idx val="3"/>
          <c:order val="3"/>
          <c:tx>
            <c:strRef>
              <c:f>parte2!$S$25</c:f>
              <c:strCache>
                <c:ptCount val="1"/>
                <c:pt idx="0">
                  <c:v>20k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parte2!$N$26:$O$31</c15:sqref>
                  </c15:fullRef>
                  <c15:levelRef>
                    <c15:sqref>parte2!$O$26:$O$31</c15:sqref>
                  </c15:levelRef>
                </c:ext>
              </c:extLst>
              <c:f>parte2!$O$26:$O$31</c:f>
              <c:strCache>
                <c:ptCount val="6"/>
                <c:pt idx="0">
                  <c:v>Bolha</c:v>
                </c:pt>
                <c:pt idx="1">
                  <c:v>Seleção</c:v>
                </c:pt>
                <c:pt idx="2">
                  <c:v>Inserção</c:v>
                </c:pt>
                <c:pt idx="3">
                  <c:v>Heapsort</c:v>
                </c:pt>
                <c:pt idx="4">
                  <c:v>Mergesort</c:v>
                </c:pt>
                <c:pt idx="5">
                  <c:v>Quicksort</c:v>
                </c:pt>
              </c:strCache>
            </c:strRef>
          </c:cat>
          <c:val>
            <c:numRef>
              <c:f>parte2!$S$26:$S$31</c:f>
              <c:numCache>
                <c:formatCode>#,##0.00</c:formatCode>
                <c:ptCount val="6"/>
                <c:pt idx="0">
                  <c:v>1869.3245099999997</c:v>
                </c:pt>
                <c:pt idx="1">
                  <c:v>430.28166999999996</c:v>
                </c:pt>
                <c:pt idx="2">
                  <c:v>814.79431</c:v>
                </c:pt>
                <c:pt idx="3">
                  <c:v>6.4082499999999998</c:v>
                </c:pt>
                <c:pt idx="4">
                  <c:v>4.6753799999999996</c:v>
                </c:pt>
                <c:pt idx="5">
                  <c:v>2.0969100000000003</c:v>
                </c:pt>
              </c:numCache>
            </c:numRef>
          </c:val>
        </c:ser>
        <c:ser>
          <c:idx val="4"/>
          <c:order val="4"/>
          <c:tx>
            <c:strRef>
              <c:f>parte2!$T$25</c:f>
              <c:strCache>
                <c:ptCount val="1"/>
                <c:pt idx="0">
                  <c:v>50k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parte2!$N$26:$O$31</c15:sqref>
                  </c15:fullRef>
                  <c15:levelRef>
                    <c15:sqref>parte2!$O$26:$O$31</c15:sqref>
                  </c15:levelRef>
                </c:ext>
              </c:extLst>
              <c:f>parte2!$O$26:$O$31</c:f>
              <c:strCache>
                <c:ptCount val="6"/>
                <c:pt idx="0">
                  <c:v>Bolha</c:v>
                </c:pt>
                <c:pt idx="1">
                  <c:v>Seleção</c:v>
                </c:pt>
                <c:pt idx="2">
                  <c:v>Inserção</c:v>
                </c:pt>
                <c:pt idx="3">
                  <c:v>Heapsort</c:v>
                </c:pt>
                <c:pt idx="4">
                  <c:v>Mergesort</c:v>
                </c:pt>
                <c:pt idx="5">
                  <c:v>Quicksort</c:v>
                </c:pt>
              </c:strCache>
            </c:strRef>
          </c:cat>
          <c:val>
            <c:numRef>
              <c:f>parte2!$T$26:$T$31</c:f>
              <c:numCache>
                <c:formatCode>#,##0.00</c:formatCode>
                <c:ptCount val="6"/>
                <c:pt idx="0">
                  <c:v>11710.047569999999</c:v>
                </c:pt>
                <c:pt idx="1">
                  <c:v>2684.2264700000001</c:v>
                </c:pt>
                <c:pt idx="2">
                  <c:v>5044.3493499999995</c:v>
                </c:pt>
                <c:pt idx="3">
                  <c:v>17.996259999999999</c:v>
                </c:pt>
                <c:pt idx="4">
                  <c:v>12.256310000000003</c:v>
                </c:pt>
                <c:pt idx="5">
                  <c:v>5.7232199999999995</c:v>
                </c:pt>
              </c:numCache>
            </c:numRef>
          </c:val>
        </c:ser>
        <c:ser>
          <c:idx val="5"/>
          <c:order val="5"/>
          <c:tx>
            <c:strRef>
              <c:f>parte2!$U$25</c:f>
              <c:strCache>
                <c:ptCount val="1"/>
                <c:pt idx="0">
                  <c:v>100k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parte2!$N$26:$O$31</c15:sqref>
                  </c15:fullRef>
                  <c15:levelRef>
                    <c15:sqref>parte2!$O$26:$O$31</c15:sqref>
                  </c15:levelRef>
                </c:ext>
              </c:extLst>
              <c:f>parte2!$O$26:$O$31</c:f>
              <c:strCache>
                <c:ptCount val="6"/>
                <c:pt idx="0">
                  <c:v>Bolha</c:v>
                </c:pt>
                <c:pt idx="1">
                  <c:v>Seleção</c:v>
                </c:pt>
                <c:pt idx="2">
                  <c:v>Inserção</c:v>
                </c:pt>
                <c:pt idx="3">
                  <c:v>Heapsort</c:v>
                </c:pt>
                <c:pt idx="4">
                  <c:v>Mergesort</c:v>
                </c:pt>
                <c:pt idx="5">
                  <c:v>Quicksort</c:v>
                </c:pt>
              </c:strCache>
            </c:strRef>
          </c:cat>
          <c:val>
            <c:numRef>
              <c:f>parte2!$U$26:$U$31</c:f>
              <c:numCache>
                <c:formatCode>#,##0.00</c:formatCode>
                <c:ptCount val="6"/>
                <c:pt idx="0">
                  <c:v>46621.516409999997</c:v>
                </c:pt>
                <c:pt idx="1">
                  <c:v>10634.502340000001</c:v>
                </c:pt>
                <c:pt idx="2">
                  <c:v>20429.910169999996</c:v>
                </c:pt>
                <c:pt idx="3">
                  <c:v>36.873100000000001</c:v>
                </c:pt>
                <c:pt idx="4">
                  <c:v>25.664929999999998</c:v>
                </c:pt>
                <c:pt idx="5">
                  <c:v>12.92699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21571968"/>
        <c:axId val="321570792"/>
      </c:barChart>
      <c:catAx>
        <c:axId val="32157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1570792"/>
        <c:crosses val="autoZero"/>
        <c:auto val="1"/>
        <c:lblAlgn val="ctr"/>
        <c:lblOffset val="100"/>
        <c:noMultiLvlLbl val="0"/>
      </c:catAx>
      <c:valAx>
        <c:axId val="3215707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157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11693</xdr:colOff>
      <xdr:row>0</xdr:row>
      <xdr:rowOff>43017</xdr:rowOff>
    </xdr:from>
    <xdr:to>
      <xdr:col>5</xdr:col>
      <xdr:colOff>1042146</xdr:colOff>
      <xdr:row>17</xdr:row>
      <xdr:rowOff>145677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44823</xdr:colOff>
      <xdr:row>18</xdr:row>
      <xdr:rowOff>68354</xdr:rowOff>
    </xdr:from>
    <xdr:to>
      <xdr:col>5</xdr:col>
      <xdr:colOff>1053352</xdr:colOff>
      <xdr:row>34</xdr:row>
      <xdr:rowOff>56028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78440</xdr:colOff>
      <xdr:row>35</xdr:row>
      <xdr:rowOff>23532</xdr:rowOff>
    </xdr:from>
    <xdr:to>
      <xdr:col>5</xdr:col>
      <xdr:colOff>986117</xdr:colOff>
      <xdr:row>48</xdr:row>
      <xdr:rowOff>100854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ela1" displayName="Tabela1" ref="B26:D32" totalsRowShown="0" headerRowDxfId="13" headerRowBorderDxfId="11" tableBorderDxfId="12">
  <autoFilter ref="B26:D32">
    <filterColumn colId="0" hiddenButton="1"/>
    <filterColumn colId="1" hiddenButton="1"/>
    <filterColumn colId="2" hiddenButton="1"/>
  </autoFilter>
  <tableColumns count="3">
    <tableColumn id="1" name="Algoritmo" dataDxfId="10"/>
    <tableColumn id="2" name="melhor" dataDxfId="14"/>
    <tableColumn id="3" name="pior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3" name="Tabela14" displayName="Tabela14" ref="B36:C42" totalsRowShown="0" headerRowDxfId="9" headerRowBorderDxfId="7" tableBorderDxfId="8">
  <autoFilter ref="B36:C42">
    <filterColumn colId="0" hiddenButton="1"/>
    <filterColumn colId="1" hiddenButton="1"/>
  </autoFilter>
  <tableColumns count="2">
    <tableColumn id="1" name="Algoritmo" dataDxfId="6"/>
    <tableColumn id="2" name="Função" dataDxfId="5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id="39" name="Tabela1440" displayName="Tabela1440" ref="B45:C51" totalsRowShown="0" headerRowDxfId="4" headerRowBorderDxfId="2" tableBorderDxfId="3">
  <autoFilter ref="B45:C51">
    <filterColumn colId="0" hiddenButton="1"/>
    <filterColumn colId="1" hiddenButton="1"/>
  </autoFilter>
  <tableColumns count="2">
    <tableColumn id="1" name="Algoritmo" dataDxfId="1"/>
    <tableColumn id="2" name="Função" dataDxfId="0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id="2" name="bubble1_" displayName="bubble1_" ref="A2:C12" headerRowDxfId="290" dataDxfId="289">
  <autoFilter ref="A2:C12">
    <filterColumn colId="0" hiddenButton="1"/>
    <filterColumn colId="1" hiddenButton="1"/>
    <filterColumn colId="2" hiddenButton="1"/>
  </autoFilter>
  <tableColumns count="3">
    <tableColumn id="1" name="comparações" dataDxfId="288"/>
    <tableColumn id="2" name="trocas" dataDxfId="287"/>
    <tableColumn id="3" name="tempo (ms)" dataDxfId="286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id="4" name="heap1" displayName="heap1" ref="A15:C25" headerRowDxfId="285" dataDxfId="284" totalsRowDxfId="283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282" totalsRowDxfId="281"/>
    <tableColumn id="2" name="trocas" totalsRowFunction="average" dataDxfId="280" totalsRowDxfId="279"/>
    <tableColumn id="3" name="tempo (ms)" totalsRowFunction="average" dataDxfId="278" totalsRowDxfId="277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5" name="insertion1" displayName="insertion1" ref="A28:C38" headerRowDxfId="276" dataDxfId="275" totalsRowDxfId="274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273" totalsRowDxfId="272"/>
    <tableColumn id="2" name="trocas" totalsRowFunction="average" dataDxfId="271" totalsRowDxfId="270"/>
    <tableColumn id="3" name="tempo (ms)" totalsRowFunction="average" dataDxfId="269" totalsRowDxfId="268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6" name="merge1" displayName="merge1" ref="A2:C12" headerRowDxfId="267" dataDxfId="266">
  <autoFilter ref="A2:C12">
    <filterColumn colId="0" hiddenButton="1"/>
    <filterColumn colId="1" hiddenButton="1"/>
    <filterColumn colId="2" hiddenButton="1"/>
  </autoFilter>
  <tableColumns count="3">
    <tableColumn id="1" name="comparações" dataDxfId="265"/>
    <tableColumn id="2" name="trocas" dataDxfId="264"/>
    <tableColumn id="3" name="tempo (ms)" dataDxfId="263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id="7" name="quick1" displayName="quick1" ref="A15:C25" headerRowDxfId="262" dataDxfId="261" totalsRowDxfId="260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259" totalsRowDxfId="258"/>
    <tableColumn id="2" name="trocas" totalsRowFunction="average" dataDxfId="257" totalsRowDxfId="256"/>
    <tableColumn id="3" name="tempo (ms)" totalsRowFunction="average" dataDxfId="255" totalsRowDxfId="254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id="8" name="selection1" displayName="selection1" ref="A28:C38" headerRowDxfId="253" dataDxfId="252" totalsRowDxfId="251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250" totalsRowDxfId="249"/>
    <tableColumn id="2" name="trocas" totalsRowFunction="average" dataDxfId="248" totalsRowDxfId="247"/>
    <tableColumn id="3" name="tempo (ms)" totalsRowFunction="average" dataDxfId="246" totalsRowDxfId="245"/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id="9" name="bubble5_" displayName="bubble5_" ref="A2:C12" headerRowDxfId="244" dataDxfId="243">
  <autoFilter ref="A2:C12">
    <filterColumn colId="0" hiddenButton="1"/>
    <filterColumn colId="1" hiddenButton="1"/>
    <filterColumn colId="2" hiddenButton="1"/>
  </autoFilter>
  <tableColumns count="3">
    <tableColumn id="1" name="comparações" dataDxfId="242"/>
    <tableColumn id="2" name="trocas" dataDxfId="241"/>
    <tableColumn id="3" name="tempo (ms)" dataDxfId="240"/>
  </tableColumns>
  <tableStyleInfo name="TableStyleMedium5" showFirstColumn="0" showLastColumn="0" showRowStripes="1" showColumnStripes="0"/>
</table>
</file>

<file path=xl/tables/table11.xml><?xml version="1.0" encoding="utf-8"?>
<table xmlns="http://schemas.openxmlformats.org/spreadsheetml/2006/main" id="10" name="heap5" displayName="heap5" ref="A15:C25" headerRowDxfId="239" dataDxfId="238" totalsRowDxfId="237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236" totalsRowDxfId="235"/>
    <tableColumn id="2" name="trocas" totalsRowFunction="average" dataDxfId="234" totalsRowDxfId="233"/>
    <tableColumn id="3" name="tempo (ms)" totalsRowFunction="average" dataDxfId="232" totalsRowDxfId="231"/>
  </tableColumns>
  <tableStyleInfo name="TableStyleMedium5" showFirstColumn="0" showLastColumn="0" showRowStripes="1" showColumnStripes="0"/>
</table>
</file>

<file path=xl/tables/table12.xml><?xml version="1.0" encoding="utf-8"?>
<table xmlns="http://schemas.openxmlformats.org/spreadsheetml/2006/main" id="11" name="insertion5" displayName="insertion5" ref="A28:C38" headerRowDxfId="230" dataDxfId="229" totalsRowDxfId="228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227" totalsRowDxfId="226"/>
    <tableColumn id="2" name="trocas" totalsRowFunction="average" dataDxfId="225" totalsRowDxfId="224"/>
    <tableColumn id="3" name="tempo (ms)" totalsRowFunction="average" dataDxfId="223" totalsRowDxfId="222"/>
  </tableColumns>
  <tableStyleInfo name="TableStyleMedium5" showFirstColumn="0" showLastColumn="0" showRowStripes="1" showColumnStripes="0"/>
</table>
</file>

<file path=xl/tables/table13.xml><?xml version="1.0" encoding="utf-8"?>
<table xmlns="http://schemas.openxmlformats.org/spreadsheetml/2006/main" id="12" name="merge5" displayName="merge5" ref="A2:C12" headerRowDxfId="221" dataDxfId="220">
  <autoFilter ref="A2:C12">
    <filterColumn colId="0" hiddenButton="1"/>
    <filterColumn colId="1" hiddenButton="1"/>
    <filterColumn colId="2" hiddenButton="1"/>
  </autoFilter>
  <tableColumns count="3">
    <tableColumn id="1" name="comparações" dataDxfId="219"/>
    <tableColumn id="2" name="trocas" dataDxfId="218"/>
    <tableColumn id="3" name="tempo (ms)" dataDxfId="217"/>
  </tableColumns>
  <tableStyleInfo name="TableStyleMedium5" showFirstColumn="0" showLastColumn="0" showRowStripes="1" showColumnStripes="0"/>
</table>
</file>

<file path=xl/tables/table14.xml><?xml version="1.0" encoding="utf-8"?>
<table xmlns="http://schemas.openxmlformats.org/spreadsheetml/2006/main" id="13" name="quick5" displayName="quick5" ref="A15:C25" headerRowDxfId="216" dataDxfId="215" totalsRowDxfId="214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213" totalsRowDxfId="212"/>
    <tableColumn id="2" name="trocas" totalsRowFunction="average" dataDxfId="211" totalsRowDxfId="210"/>
    <tableColumn id="3" name="tempo (ms)" totalsRowFunction="average" dataDxfId="209" totalsRowDxfId="208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id="14" name="selection5" displayName="selection5" ref="A28:C38" headerRowDxfId="207" dataDxfId="206" totalsRowDxfId="205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204" totalsRowDxfId="203"/>
    <tableColumn id="2" name="trocas" totalsRowFunction="average" dataDxfId="202" totalsRowDxfId="201"/>
    <tableColumn id="3" name="tempo (ms)" totalsRowFunction="average" dataDxfId="200" totalsRowDxfId="199"/>
  </tableColumns>
  <tableStyleInfo name="TableStyleMedium5" showFirstColumn="0" showLastColumn="0" showRowStripes="1" showColumnStripes="0"/>
</table>
</file>

<file path=xl/tables/table16.xml><?xml version="1.0" encoding="utf-8"?>
<table xmlns="http://schemas.openxmlformats.org/spreadsheetml/2006/main" id="18" name="bubble10_" displayName="bubble10_" ref="A2:C12" headerRowDxfId="198" dataDxfId="197">
  <autoFilter ref="A2:C12">
    <filterColumn colId="0" hiddenButton="1"/>
    <filterColumn colId="1" hiddenButton="1"/>
    <filterColumn colId="2" hiddenButton="1"/>
  </autoFilter>
  <tableColumns count="3">
    <tableColumn id="1" name="comparações" dataDxfId="196"/>
    <tableColumn id="2" name="trocas" dataDxfId="195"/>
    <tableColumn id="3" name="tempo (ms)" dataDxfId="194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19" name="heap10" displayName="heap10" ref="A15:C25" headerRowDxfId="193" dataDxfId="192" totalsRowDxfId="191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90" totalsRowDxfId="189"/>
    <tableColumn id="2" name="trocas" totalsRowFunction="average" dataDxfId="188" totalsRowDxfId="187"/>
    <tableColumn id="3" name="tempo (ms)" totalsRowFunction="average" dataDxfId="186" totalsRowDxfId="185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id="20" name="insertion10" displayName="insertion10" ref="A28:C38" headerRowDxfId="184" dataDxfId="183" totalsRowDxfId="182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181" totalsRowDxfId="180"/>
    <tableColumn id="2" name="trocas" totalsRowFunction="average" dataDxfId="179" totalsRowDxfId="178"/>
    <tableColumn id="3" name="tempo (ms)" totalsRowFunction="average" dataDxfId="177" totalsRowDxfId="176"/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id="15" name="merge10" displayName="merge10" ref="A2:C12" headerRowDxfId="175" dataDxfId="174">
  <autoFilter ref="A2:C12">
    <filterColumn colId="0" hiddenButton="1"/>
    <filterColumn colId="1" hiddenButton="1"/>
    <filterColumn colId="2" hiddenButton="1"/>
  </autoFilter>
  <tableColumns count="3">
    <tableColumn id="1" name="comparações" dataDxfId="173"/>
    <tableColumn id="2" name="trocas" dataDxfId="172"/>
    <tableColumn id="3" name="tempo (ms)" dataDxfId="171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id="16" name="quick10" displayName="quick10" ref="A15:C25" headerRowDxfId="170" dataDxfId="169" totalsRowDxfId="168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67" totalsRowDxfId="166"/>
    <tableColumn id="2" name="trocas" totalsRowFunction="average" dataDxfId="165" totalsRowDxfId="164"/>
    <tableColumn id="3" name="tempo (ms)" totalsRowFunction="average" dataDxfId="163" totalsRowDxfId="162"/>
  </tableColumns>
  <tableStyleInfo name="TableStyleMedium3" showFirstColumn="0" showLastColumn="0" showRowStripes="1" showColumnStripes="0"/>
</table>
</file>

<file path=xl/tables/table21.xml><?xml version="1.0" encoding="utf-8"?>
<table xmlns="http://schemas.openxmlformats.org/spreadsheetml/2006/main" id="17" name="selection10" displayName="selection10" ref="A28:C38" headerRowDxfId="161" dataDxfId="160" totalsRowDxfId="159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158" totalsRowDxfId="157"/>
    <tableColumn id="2" name="trocas" totalsRowFunction="average" dataDxfId="156" totalsRowDxfId="155"/>
    <tableColumn id="3" name="tempo (ms)" totalsRowFunction="average" dataDxfId="154" totalsRowDxfId="153"/>
  </tableColumns>
  <tableStyleInfo name="TableStyleMedium3" showFirstColumn="0" showLastColumn="0" showRowStripes="1" showColumnStripes="0"/>
</table>
</file>

<file path=xl/tables/table22.xml><?xml version="1.0" encoding="utf-8"?>
<table xmlns="http://schemas.openxmlformats.org/spreadsheetml/2006/main" id="21" name="bubble20_" displayName="bubble20_" ref="A2:C12" headerRowDxfId="152" dataDxfId="151">
  <autoFilter ref="A2:C12">
    <filterColumn colId="0" hiddenButton="1"/>
    <filterColumn colId="1" hiddenButton="1"/>
    <filterColumn colId="2" hiddenButton="1"/>
  </autoFilter>
  <tableColumns count="3">
    <tableColumn id="1" name="comparações" dataDxfId="150"/>
    <tableColumn id="2" name="trocas" dataDxfId="149"/>
    <tableColumn id="3" name="tempo (ms)" dataDxfId="14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2" name="heap20" displayName="heap20" ref="A15:C25" headerRowDxfId="147" dataDxfId="146" totalsRowDxfId="145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44" totalsRowDxfId="143"/>
    <tableColumn id="2" name="trocas" totalsRowFunction="average" dataDxfId="142" totalsRowDxfId="141"/>
    <tableColumn id="3" name="tempo (ms)" totalsRowFunction="average" dataDxfId="140" totalsRowDxfId="13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3" name="insertion20" displayName="insertion20" ref="A28:C38" headerRowDxfId="138" dataDxfId="137" totalsRowDxfId="136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135" totalsRowDxfId="134"/>
    <tableColumn id="2" name="trocas" totalsRowFunction="average" dataDxfId="133" totalsRowDxfId="132"/>
    <tableColumn id="3" name="tempo (ms)" totalsRowFunction="average" dataDxfId="131" totalsRowDxfId="13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4" name="merge20" displayName="merge20" ref="A2:C12" headerRowDxfId="129" dataDxfId="128">
  <autoFilter ref="A2:C12">
    <filterColumn colId="0" hiddenButton="1"/>
    <filterColumn colId="1" hiddenButton="1"/>
    <filterColumn colId="2" hiddenButton="1"/>
  </autoFilter>
  <tableColumns count="3">
    <tableColumn id="1" name="comparações" dataDxfId="127"/>
    <tableColumn id="2" name="trocas" dataDxfId="126"/>
    <tableColumn id="3" name="tempo (ms)" dataDxfId="12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5" name="quick20" displayName="quick20" ref="A15:C25" headerRowDxfId="124" dataDxfId="123" totalsRowDxfId="122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121" totalsRowDxfId="120"/>
    <tableColumn id="2" name="trocas" totalsRowFunction="average" dataDxfId="119" totalsRowDxfId="118"/>
    <tableColumn id="3" name="tempo (ms)" totalsRowFunction="average" dataDxfId="117" totalsRowDxfId="116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selection20" displayName="selection20" ref="A28:C38" headerRowDxfId="115" dataDxfId="114" totalsRowDxfId="113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112" totalsRowDxfId="111"/>
    <tableColumn id="2" name="trocas" totalsRowFunction="average" dataDxfId="110" totalsRowDxfId="109"/>
    <tableColumn id="3" name="tempo (ms)" totalsRowFunction="average" dataDxfId="108" totalsRowDxfId="107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7" name="bubble50_" displayName="bubble50_" ref="A2:C12" headerRowDxfId="106" dataDxfId="105">
  <autoFilter ref="A2:C12">
    <filterColumn colId="0" hiddenButton="1"/>
    <filterColumn colId="1" hiddenButton="1"/>
    <filterColumn colId="2" hiddenButton="1"/>
  </autoFilter>
  <tableColumns count="3">
    <tableColumn id="1" name="comparações" dataDxfId="104"/>
    <tableColumn id="2" name="trocas" dataDxfId="103"/>
    <tableColumn id="3" name="tempo (ms)" dataDxfId="102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8" name="heap50" displayName="heap50" ref="A15:C25" headerRowDxfId="101" dataDxfId="100" totalsRowDxfId="99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98" totalsRowDxfId="97"/>
    <tableColumn id="2" name="trocas" totalsRowFunction="average" dataDxfId="96" totalsRowDxfId="95"/>
    <tableColumn id="3" name="tempo (ms)" totalsRowFunction="average" dataDxfId="94" totalsRowDxfId="93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29" name="insertion50" displayName="insertion50" ref="A28:C38" headerRowDxfId="92" dataDxfId="91" totalsRowDxfId="90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89" totalsRowDxfId="88"/>
    <tableColumn id="2" name="trocas" totalsRowFunction="average" dataDxfId="87" totalsRowDxfId="86"/>
    <tableColumn id="3" name="tempo (ms)" totalsRowFunction="average" dataDxfId="85" totalsRowDxfId="84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0" name="merge50" displayName="merge50" ref="A2:C12" headerRowDxfId="83" dataDxfId="82">
  <autoFilter ref="A2:C12">
    <filterColumn colId="0" hiddenButton="1"/>
    <filterColumn colId="1" hiddenButton="1"/>
    <filterColumn colId="2" hiddenButton="1"/>
  </autoFilter>
  <tableColumns count="3">
    <tableColumn id="1" name="comparações" dataDxfId="81"/>
    <tableColumn id="2" name="trocas" dataDxfId="80"/>
    <tableColumn id="3" name="tempo (ms)" dataDxfId="79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1" name="quick50" displayName="quick50" ref="A15:C25" headerRowDxfId="78" dataDxfId="77" totalsRowDxfId="76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75" totalsRowDxfId="74"/>
    <tableColumn id="2" name="trocas" totalsRowFunction="average" dataDxfId="73" totalsRowDxfId="72"/>
    <tableColumn id="3" name="tempo (ms)" totalsRowFunction="average" dataDxfId="71" totalsRowDxfId="7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2" name="selection50" displayName="selection50" ref="A28:C38" headerRowDxfId="69" dataDxfId="68" totalsRowDxfId="67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66" totalsRowDxfId="65"/>
    <tableColumn id="2" name="trocas" totalsRowFunction="average" dataDxfId="64" totalsRowDxfId="63"/>
    <tableColumn id="3" name="tempo (ms)" totalsRowFunction="average" dataDxfId="62" totalsRowDxfId="6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3" name="bubble100_" displayName="bubble100_" ref="A2:C12" headerRowDxfId="60" dataDxfId="59">
  <autoFilter ref="A2:C12">
    <filterColumn colId="0" hiddenButton="1"/>
    <filterColumn colId="1" hiddenButton="1"/>
    <filterColumn colId="2" hiddenButton="1"/>
  </autoFilter>
  <tableColumns count="3">
    <tableColumn id="1" name="comparações" dataDxfId="58"/>
    <tableColumn id="2" name="trocas" dataDxfId="57"/>
    <tableColumn id="3" name="tempo (ms)" dataDxfId="56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4" name="heap100" displayName="heap100" ref="A15:C25" headerRowDxfId="55" dataDxfId="54" totalsRowDxfId="53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52" totalsRowDxfId="51"/>
    <tableColumn id="2" name="trocas" totalsRowFunction="average" dataDxfId="50" totalsRowDxfId="49"/>
    <tableColumn id="3" name="tempo (ms)" totalsRowFunction="average" dataDxfId="48" totalsRowDxfId="47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5" name="insertion100" displayName="insertion100" ref="A28:C38" headerRowDxfId="46" dataDxfId="45" totalsRowDxfId="44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43" totalsRowDxfId="42"/>
    <tableColumn id="2" name="trocas" totalsRowFunction="average" dataDxfId="41" totalsRowDxfId="40"/>
    <tableColumn id="3" name="tempo (ms)" totalsRowFunction="average" dataDxfId="39" totalsRowDxfId="38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6" name="merge100" displayName="merge100" ref="A2:C12" headerRowDxfId="37" dataDxfId="36">
  <autoFilter ref="A2:C12">
    <filterColumn colId="0" hiddenButton="1"/>
    <filterColumn colId="1" hiddenButton="1"/>
    <filterColumn colId="2" hiddenButton="1"/>
  </autoFilter>
  <tableColumns count="3">
    <tableColumn id="1" name="comparações" dataDxfId="35"/>
    <tableColumn id="2" name="trocas" dataDxfId="34"/>
    <tableColumn id="3" name="tempo (ms)" dataDxfId="3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7" name="quick100" displayName="quick100" ref="A15:C25" headerRowDxfId="32" dataDxfId="31" totalsRowDxfId="30">
  <autoFilter ref="A15:C25">
    <filterColumn colId="0" hiddenButton="1"/>
    <filterColumn colId="1" hiddenButton="1"/>
    <filterColumn colId="2" hiddenButton="1"/>
  </autoFilter>
  <tableColumns count="3">
    <tableColumn id="1" name="comparações" totalsRowFunction="average" dataDxfId="29" totalsRowDxfId="28"/>
    <tableColumn id="2" name="trocas" totalsRowFunction="average" dataDxfId="27" totalsRowDxfId="26"/>
    <tableColumn id="3" name="tempo (ms)" totalsRowFunction="average" dataDxfId="25" totalsRowDxfId="24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38" name="selection100" displayName="selection100" ref="A28:C38" headerRowDxfId="23" dataDxfId="22" totalsRowDxfId="21">
  <autoFilter ref="A28:C38">
    <filterColumn colId="0" hiddenButton="1"/>
    <filterColumn colId="1" hiddenButton="1"/>
    <filterColumn colId="2" hiddenButton="1"/>
  </autoFilter>
  <tableColumns count="3">
    <tableColumn id="1" name="comparações" totalsRowFunction="average" dataDxfId="20" totalsRowDxfId="19"/>
    <tableColumn id="2" name="trocas" totalsRowFunction="average" dataDxfId="18" totalsRowDxfId="17"/>
    <tableColumn id="3" name="tempo (ms)" totalsRowFunction="average" dataDxfId="16" totalsRow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Relationship Id="rId4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2.bin"/><Relationship Id="rId4" Type="http://schemas.openxmlformats.org/officeDocument/2006/relationships/table" Target="../tables/table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3.bin"/><Relationship Id="rId4" Type="http://schemas.openxmlformats.org/officeDocument/2006/relationships/table" Target="../tables/table3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4.bin"/><Relationship Id="rId4" Type="http://schemas.openxmlformats.org/officeDocument/2006/relationships/table" Target="../tables/table3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7030A0"/>
  </sheetPr>
  <dimension ref="B1:I21"/>
  <sheetViews>
    <sheetView zoomScale="115" zoomScaleNormal="115" workbookViewId="0">
      <selection activeCell="G16" sqref="G16:I21"/>
    </sheetView>
  </sheetViews>
  <sheetFormatPr defaultRowHeight="15" x14ac:dyDescent="0.25"/>
  <cols>
    <col min="1" max="1" width="11" customWidth="1"/>
    <col min="2" max="2" width="15.140625" customWidth="1"/>
    <col min="3" max="3" width="10.5703125" customWidth="1"/>
    <col min="4" max="6" width="14.85546875" customWidth="1"/>
    <col min="7" max="7" width="15.5703125" customWidth="1"/>
    <col min="8" max="8" width="14.7109375" customWidth="1"/>
    <col min="9" max="9" width="14.85546875" customWidth="1"/>
  </cols>
  <sheetData>
    <row r="1" spans="2:9" ht="15.75" thickBot="1" x14ac:dyDescent="0.3">
      <c r="D1" s="13"/>
      <c r="E1" s="13"/>
      <c r="F1" s="13"/>
      <c r="G1" s="13"/>
      <c r="H1" s="13"/>
      <c r="I1" s="13"/>
    </row>
    <row r="2" spans="2:9" ht="15.75" customHeight="1" thickBot="1" x14ac:dyDescent="0.3">
      <c r="C2" s="14"/>
      <c r="D2" s="30" t="s">
        <v>14</v>
      </c>
      <c r="E2" s="30"/>
      <c r="F2" s="30"/>
      <c r="G2" s="30"/>
      <c r="H2" s="30"/>
      <c r="I2" s="31"/>
    </row>
    <row r="3" spans="2:9" ht="15.75" thickBot="1" x14ac:dyDescent="0.3">
      <c r="B3" s="11" t="s">
        <v>13</v>
      </c>
      <c r="C3" s="12" t="s">
        <v>0</v>
      </c>
      <c r="D3" s="8" t="s">
        <v>7</v>
      </c>
      <c r="E3" s="7" t="s">
        <v>8</v>
      </c>
      <c r="F3" s="7" t="s">
        <v>9</v>
      </c>
      <c r="G3" s="7" t="s">
        <v>10</v>
      </c>
      <c r="H3" s="7" t="s">
        <v>11</v>
      </c>
      <c r="I3" s="15" t="s">
        <v>12</v>
      </c>
    </row>
    <row r="4" spans="2:9" x14ac:dyDescent="0.25">
      <c r="B4" s="27" t="s">
        <v>15</v>
      </c>
      <c r="C4" s="9" t="s">
        <v>1</v>
      </c>
      <c r="D4" s="16">
        <f>SUBTOTAL(101,bubble1_[comparações])</f>
        <v>217119.5</v>
      </c>
      <c r="E4" s="16">
        <f>SUBTOTAL(101,bubble5_[comparações])</f>
        <v>5643302.4000000004</v>
      </c>
      <c r="F4" s="16">
        <f>SUBTOTAL(101,bubble10_[comparações])</f>
        <v>22542997.399999999</v>
      </c>
      <c r="G4" s="16">
        <f>SUBTOTAL(101,bubble20_[comparações])</f>
        <v>90171139.099999994</v>
      </c>
      <c r="H4" s="16">
        <f>SUBTOTAL(101,bubble50_[comparações])</f>
        <v>561640393.39999998</v>
      </c>
      <c r="I4" s="17">
        <f>SUBTOTAL(101,bubble100_[comparações])</f>
        <v>2249324511.6999998</v>
      </c>
    </row>
    <row r="5" spans="2:9" x14ac:dyDescent="0.25">
      <c r="B5" s="28"/>
      <c r="C5" s="6" t="s">
        <v>2</v>
      </c>
      <c r="D5" s="18">
        <f>SUBTOTAL(101,selection1[comparações])</f>
        <v>1934.8</v>
      </c>
      <c r="E5" s="18">
        <f>SUBTOTAL(101,selection5[comparações])</f>
        <v>9567</v>
      </c>
      <c r="F5" s="18">
        <f>SUBTOTAL(101,selection10[comparações])</f>
        <v>19382</v>
      </c>
      <c r="G5" s="18">
        <f>SUBTOTAL(101,selection20[comparações])</f>
        <v>38592.300000000003</v>
      </c>
      <c r="H5" s="18">
        <f>SUBTOTAL(101,selection50[comparações])</f>
        <v>96472.5</v>
      </c>
      <c r="I5" s="19">
        <f>SUBTOTAL(101,selection100[comparações])</f>
        <v>192833.9</v>
      </c>
    </row>
    <row r="6" spans="2:9" x14ac:dyDescent="0.25">
      <c r="B6" s="28"/>
      <c r="C6" s="6" t="s">
        <v>3</v>
      </c>
      <c r="D6" s="18">
        <f>SUBTOTAL(101,insertion1[comparações])</f>
        <v>220236.79999999999</v>
      </c>
      <c r="E6" s="18">
        <f>SUBTOTAL(101,insertion5[comparações])</f>
        <v>5599468.7999999998</v>
      </c>
      <c r="F6" s="18">
        <f>SUBTOTAL(101,insertion10[comparações])</f>
        <v>22490222.5</v>
      </c>
      <c r="G6" s="18">
        <f>SUBTOTAL(101,insertion20[comparações])</f>
        <v>90025660.200000003</v>
      </c>
      <c r="H6" s="18">
        <f>SUBTOTAL(101,insertion50[comparações])</f>
        <v>561655771.89999998</v>
      </c>
      <c r="I6" s="19">
        <f>SUBTOTAL(101,insertion100[comparações])</f>
        <v>2251491017.6999998</v>
      </c>
    </row>
    <row r="7" spans="2:9" x14ac:dyDescent="0.25">
      <c r="B7" s="28"/>
      <c r="C7" s="6" t="s">
        <v>4</v>
      </c>
      <c r="D7" s="18">
        <f>SUBTOTAL(101,heap1[comparações])</f>
        <v>10025.6</v>
      </c>
      <c r="E7" s="18">
        <f>SUBTOTAL(101,heap5[comparações])</f>
        <v>64580.6</v>
      </c>
      <c r="F7" s="18">
        <f>SUBTOTAL(101,heap10[comparações])</f>
        <v>142255</v>
      </c>
      <c r="G7" s="18">
        <f>SUBTOTAL(101,heap20[comparações])</f>
        <v>309796.2</v>
      </c>
      <c r="H7" s="18">
        <f>SUBTOTAL(101,heap50[comparações])</f>
        <v>856878</v>
      </c>
      <c r="I7" s="19">
        <f>SUBTOTAL(101,heap100[comparações])</f>
        <v>1841105.9</v>
      </c>
    </row>
    <row r="8" spans="2:9" x14ac:dyDescent="0.25">
      <c r="B8" s="28"/>
      <c r="C8" s="6" t="s">
        <v>5</v>
      </c>
      <c r="D8" s="18">
        <f>SUBTOTAL(101,merge1[comparações])</f>
        <v>8503.5</v>
      </c>
      <c r="E8" s="18">
        <f>SUBTOTAL(101,merge5[comparações])</f>
        <v>53553.1</v>
      </c>
      <c r="F8" s="18">
        <f>SUBTOTAL(101,merge10[comparações])</f>
        <v>116473.5</v>
      </c>
      <c r="G8" s="18">
        <f>SUBTOTAL(101,merge20[comparações])</f>
        <v>252198.5</v>
      </c>
      <c r="H8" s="18">
        <f>SUBTOTAL(101,merge50[comparações])</f>
        <v>692427.4</v>
      </c>
      <c r="I8" s="19">
        <f>SUBTOTAL(101,merge100[comparações])</f>
        <v>1479957.7</v>
      </c>
    </row>
    <row r="9" spans="2:9" ht="15.75" thickBot="1" x14ac:dyDescent="0.3">
      <c r="B9" s="29"/>
      <c r="C9" s="10" t="s">
        <v>6</v>
      </c>
      <c r="D9" s="20">
        <f>SUBTOTAL(101,quick1[comparações])</f>
        <v>2944.8</v>
      </c>
      <c r="E9" s="18">
        <f>SUBTOTAL(101,quick5[comparações])</f>
        <v>12549.7</v>
      </c>
      <c r="F9" s="18">
        <f>SUBTOTAL(101,quick10[comparações])</f>
        <v>28452.799999999999</v>
      </c>
      <c r="G9" s="18">
        <f>SUBTOTAL(101,quick20[comparações])</f>
        <v>51680.7</v>
      </c>
      <c r="H9" s="18">
        <f>SUBTOTAL(101,quick50[comparações])</f>
        <v>156496.29999999999</v>
      </c>
      <c r="I9" s="19">
        <f>SUBTOTAL(101,quick100[comparações])</f>
        <v>251642.2</v>
      </c>
    </row>
    <row r="10" spans="2:9" x14ac:dyDescent="0.25">
      <c r="B10" s="27" t="s">
        <v>16</v>
      </c>
      <c r="C10" s="9" t="s">
        <v>1</v>
      </c>
      <c r="D10" s="16">
        <f>SUBTOTAL(101,bubble1_[trocas])</f>
        <v>217119.5</v>
      </c>
      <c r="E10" s="16">
        <f>SUBTOTAL(101,bubble5_[trocas])</f>
        <v>5643302.4000000004</v>
      </c>
      <c r="F10" s="16">
        <f>SUBTOTAL(101,bubble10_[trocas])</f>
        <v>22542997.399999999</v>
      </c>
      <c r="G10" s="16">
        <f>SUBTOTAL(101,bubble20_[trocas])</f>
        <v>90171139.099999994</v>
      </c>
      <c r="H10" s="16">
        <f>SUBTOTAL(101,bubble50_[trocas])</f>
        <v>561640393.39999998</v>
      </c>
      <c r="I10" s="17">
        <f>SUBTOTAL(101,bubble100_[trocas])</f>
        <v>2249324511.6999998</v>
      </c>
    </row>
    <row r="11" spans="2:9" x14ac:dyDescent="0.25">
      <c r="B11" s="28"/>
      <c r="C11" s="6" t="s">
        <v>2</v>
      </c>
      <c r="D11" s="18">
        <f>SUBTOTAL(101,selection1[trocas])</f>
        <v>891.6</v>
      </c>
      <c r="E11" s="18">
        <f>SUBTOTAL(101,selection5[trocas])</f>
        <v>4513</v>
      </c>
      <c r="F11" s="18">
        <f>SUBTOTAL(101,selection10[trocas])</f>
        <v>9023.5</v>
      </c>
      <c r="G11" s="18">
        <f>SUBTOTAL(101,selection20[trocas])</f>
        <v>17978.400000000001</v>
      </c>
      <c r="H11" s="18">
        <f>SUBTOTAL(101,selection50[trocas])</f>
        <v>45021.8</v>
      </c>
      <c r="I11" s="21">
        <f>SUBTOTAL(101,selection100[trocas])</f>
        <v>89999</v>
      </c>
    </row>
    <row r="12" spans="2:9" x14ac:dyDescent="0.25">
      <c r="B12" s="28"/>
      <c r="C12" s="6" t="s">
        <v>3</v>
      </c>
      <c r="D12" s="18">
        <f>SUBTOTAL(101,insertion1[trocas])</f>
        <v>220236.79999999999</v>
      </c>
      <c r="E12" s="18">
        <f>SUBTOTAL(101,insertion5[trocas])</f>
        <v>5599468.7999999998</v>
      </c>
      <c r="F12" s="18">
        <f>SUBTOTAL(101,insertion100[trocas])</f>
        <v>2251491017.6999998</v>
      </c>
      <c r="G12" s="18">
        <f>SUBTOTAL(101,insertion20[trocas])</f>
        <v>90025660.200000003</v>
      </c>
      <c r="H12" s="18">
        <f>SUBTOTAL(101,insertion50[trocas])</f>
        <v>561655771.89999998</v>
      </c>
      <c r="I12" s="21">
        <f>SUBTOTAL(101,insertion100[trocas])</f>
        <v>2251491017.6999998</v>
      </c>
    </row>
    <row r="13" spans="2:9" x14ac:dyDescent="0.25">
      <c r="B13" s="28"/>
      <c r="C13" s="6" t="s">
        <v>4</v>
      </c>
      <c r="D13" s="18">
        <f>SUBTOTAL(101,heap1[trocas])</f>
        <v>8294.5</v>
      </c>
      <c r="E13" s="18">
        <f>SUBTOTAL(101,heap5[trocas])</f>
        <v>51817</v>
      </c>
      <c r="F13" s="18">
        <f>SUBTOTAL(101,heap10[trocas])</f>
        <v>112662</v>
      </c>
      <c r="G13" s="18">
        <f>SUBTOTAL(101,heap20[trocas])</f>
        <v>243278.6</v>
      </c>
      <c r="H13" s="18">
        <f>SUBTOTAL(101,heap50[trocas])</f>
        <v>665041</v>
      </c>
      <c r="I13" s="21">
        <f>SUBTOTAL(101,heap100[trocas])</f>
        <v>1419096.2</v>
      </c>
    </row>
    <row r="14" spans="2:9" x14ac:dyDescent="0.25">
      <c r="B14" s="28"/>
      <c r="C14" s="6" t="s">
        <v>5</v>
      </c>
      <c r="D14" s="18">
        <f>SUBTOTAL(101,merge1[trocas])</f>
        <v>8503.5</v>
      </c>
      <c r="E14" s="18">
        <f>SUBTOTAL(101,merge5[trocas])</f>
        <v>53553.1</v>
      </c>
      <c r="F14" s="18">
        <f>SUBTOTAL(101,merge10[trocas])</f>
        <v>116473.5</v>
      </c>
      <c r="G14" s="18">
        <f>SUBTOTAL(101,merge20[trocas])</f>
        <v>252198.5</v>
      </c>
      <c r="H14" s="18">
        <f>SUBTOTAL(101,merge50[trocas])</f>
        <v>692427.4</v>
      </c>
      <c r="I14" s="21">
        <f>SUBTOTAL(101,merge100[trocas])</f>
        <v>1479957.7</v>
      </c>
    </row>
    <row r="15" spans="2:9" ht="15.75" thickBot="1" x14ac:dyDescent="0.3">
      <c r="B15" s="29"/>
      <c r="C15" s="10" t="s">
        <v>6</v>
      </c>
      <c r="D15" s="18">
        <f>SUBTOTAL(101,quick1[trocas])</f>
        <v>3826.4</v>
      </c>
      <c r="E15" s="18">
        <f>SUBTOTAL(101,quick5[trocas])</f>
        <v>24955.3</v>
      </c>
      <c r="F15" s="18">
        <f>SUBTOTAL(101,quick10[trocas])</f>
        <v>54714.3</v>
      </c>
      <c r="G15" s="18">
        <f>SUBTOTAL(101,quick20[trocas])</f>
        <v>119600.2</v>
      </c>
      <c r="H15" s="18">
        <f>SUBTOTAL(101,quick50[trocas])</f>
        <v>330773.5</v>
      </c>
      <c r="I15" s="21">
        <f>SUBTOTAL(101,quick100[trocas])</f>
        <v>712750.4</v>
      </c>
    </row>
    <row r="16" spans="2:9" x14ac:dyDescent="0.25">
      <c r="B16" s="27" t="s">
        <v>26</v>
      </c>
      <c r="C16" s="9" t="s">
        <v>1</v>
      </c>
      <c r="D16" s="16">
        <f>SUBTOTAL(101,bubble1_[tempo (ms)])</f>
        <v>4.6757</v>
      </c>
      <c r="E16" s="16">
        <f>SUBTOTAL(101,bubble5_[tempo (ms)])</f>
        <v>121.74323999999999</v>
      </c>
      <c r="F16" s="16">
        <f>SUBTOTAL(101,bubble10_[tempo (ms)])</f>
        <v>489.18585000000002</v>
      </c>
      <c r="G16" s="16">
        <f>SUBTOTAL(101,bubble20_[tempo (ms)])</f>
        <v>1869.3245099999997</v>
      </c>
      <c r="H16" s="16">
        <f>SUBTOTAL(101,bubble50_[tempo (ms)])</f>
        <v>11710.047569999999</v>
      </c>
      <c r="I16" s="17">
        <f>SUBTOTAL(101,bubble100_[tempo (ms)])</f>
        <v>46621.516409999997</v>
      </c>
    </row>
    <row r="17" spans="2:9" x14ac:dyDescent="0.25">
      <c r="B17" s="28"/>
      <c r="C17" s="6" t="s">
        <v>2</v>
      </c>
      <c r="D17" s="18">
        <f>SUBTOTAL(101,selection1[tempo (ms)])</f>
        <v>1.22496</v>
      </c>
      <c r="E17" s="18">
        <f>SUBTOTAL(101,selection5[tempo (ms)])</f>
        <v>29.090519999999991</v>
      </c>
      <c r="F17" s="18">
        <f>SUBTOTAL(101,selection10[tempo (ms)])</f>
        <v>116.29857999999999</v>
      </c>
      <c r="G17" s="18">
        <f>SUBTOTAL(101,selection20[tempo (ms)])</f>
        <v>430.28166999999996</v>
      </c>
      <c r="H17" s="18">
        <f>SUBTOTAL(101,selection50[tempo (ms)])</f>
        <v>2684.2264700000001</v>
      </c>
      <c r="I17" s="21">
        <f>SUBTOTAL(101,selection100[tempo (ms)])</f>
        <v>10634.502340000001</v>
      </c>
    </row>
    <row r="18" spans="2:9" x14ac:dyDescent="0.25">
      <c r="B18" s="28"/>
      <c r="C18" s="6" t="s">
        <v>3</v>
      </c>
      <c r="D18" s="18">
        <f>SUBTOTAL(101,insertion1[tempo (ms)])</f>
        <v>2.2249699999999999</v>
      </c>
      <c r="E18" s="18">
        <f>SUBTOTAL(101,insertion5[tempo (ms)])</f>
        <v>56.5687</v>
      </c>
      <c r="F18" s="18">
        <f>SUBTOTAL(101,insertion10[tempo (ms)])</f>
        <v>221.58328999999998</v>
      </c>
      <c r="G18" s="18">
        <f>SUBTOTAL(101,insertion20[tempo (ms)])</f>
        <v>814.79431</v>
      </c>
      <c r="H18" s="18">
        <f>SUBTOTAL(101,insertion50[tempo (ms)])</f>
        <v>5044.3493499999995</v>
      </c>
      <c r="I18" s="21">
        <f>SUBTOTAL(101,insertion100[tempo (ms)])</f>
        <v>20429.910169999996</v>
      </c>
    </row>
    <row r="19" spans="2:9" x14ac:dyDescent="0.25">
      <c r="B19" s="28"/>
      <c r="C19" s="6" t="s">
        <v>4</v>
      </c>
      <c r="D19" s="18">
        <f>SUBTOTAL(101,heap1[tempo (ms)])</f>
        <v>0.23719999999999999</v>
      </c>
      <c r="E19" s="18">
        <f>SUBTOTAL(101,heap5[tempo (ms)])</f>
        <v>1.3660000000000001</v>
      </c>
      <c r="F19" s="18">
        <f>SUBTOTAL(101,heap10[tempo (ms)])</f>
        <v>3.1580599999999999</v>
      </c>
      <c r="G19" s="18">
        <f>SUBTOTAL(101,heap20[tempo (ms)])</f>
        <v>6.4082499999999998</v>
      </c>
      <c r="H19" s="18">
        <f>SUBTOTAL(101,heap50[tempo (ms)])</f>
        <v>17.996259999999999</v>
      </c>
      <c r="I19" s="21">
        <f>SUBTOTAL(101,heap100[tempo (ms)])</f>
        <v>36.873100000000001</v>
      </c>
    </row>
    <row r="20" spans="2:9" x14ac:dyDescent="0.25">
      <c r="B20" s="28"/>
      <c r="C20" s="6" t="s">
        <v>5</v>
      </c>
      <c r="D20" s="18">
        <f>SUBTOTAL(101,merge1[tempo (ms)])</f>
        <v>0.17358000000000001</v>
      </c>
      <c r="E20" s="18">
        <f>SUBTOTAL(101,merge5[tempo (ms)])</f>
        <v>1.0823800000000001</v>
      </c>
      <c r="F20" s="18">
        <f>SUBTOTAL(101,merge10[tempo (ms)])</f>
        <v>2.3306800000000001</v>
      </c>
      <c r="G20" s="18">
        <f>SUBTOTAL(101,merge20[tempo (ms)])</f>
        <v>4.6753799999999996</v>
      </c>
      <c r="H20" s="18">
        <f>SUBTOTAL(101,merge50[tempo (ms)])</f>
        <v>12.256310000000003</v>
      </c>
      <c r="I20" s="21">
        <f>SUBTOTAL(101,merge100[tempo (ms)])</f>
        <v>25.664929999999998</v>
      </c>
    </row>
    <row r="21" spans="2:9" ht="15.75" thickBot="1" x14ac:dyDescent="0.3">
      <c r="B21" s="29"/>
      <c r="C21" s="10" t="s">
        <v>6</v>
      </c>
      <c r="D21" s="20">
        <f>SUBTOTAL(101,quick1[tempo (ms)])</f>
        <v>9.4659999999999994E-2</v>
      </c>
      <c r="E21" s="20">
        <f>SUBTOTAL(101,quick5[tempo (ms)])</f>
        <v>0.51195000000000013</v>
      </c>
      <c r="F21" s="20">
        <f>SUBTOTAL(101,quick10[tempo (ms)])</f>
        <v>1.1559699999999999</v>
      </c>
      <c r="G21" s="20">
        <f>SUBTOTAL(101,quick20[tempo (ms)])</f>
        <v>2.0969100000000003</v>
      </c>
      <c r="H21" s="20">
        <f>SUBTOTAL(101,quick50[tempo (ms)])</f>
        <v>5.7232199999999995</v>
      </c>
      <c r="I21" s="22">
        <f>SUBTOTAL(101,quick100[tempo (ms)])</f>
        <v>12.92699</v>
      </c>
    </row>
  </sheetData>
  <mergeCells count="4">
    <mergeCell ref="B4:B9"/>
    <mergeCell ref="B10:B15"/>
    <mergeCell ref="B16:B21"/>
    <mergeCell ref="D2:I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rgb="FF7030A0"/>
  </sheetPr>
  <dimension ref="B1:F43"/>
  <sheetViews>
    <sheetView topLeftCell="A7" zoomScale="115" zoomScaleNormal="115" workbookViewId="0">
      <selection activeCell="I28" sqref="I28"/>
    </sheetView>
  </sheetViews>
  <sheetFormatPr defaultRowHeight="15" x14ac:dyDescent="0.25"/>
  <cols>
    <col min="1" max="1" width="11" customWidth="1"/>
    <col min="2" max="2" width="15.140625" customWidth="1"/>
    <col min="3" max="3" width="10.5703125" customWidth="1"/>
    <col min="4" max="6" width="14.85546875" customWidth="1"/>
    <col min="7" max="7" width="15.5703125" customWidth="1"/>
    <col min="8" max="8" width="14.7109375" customWidth="1"/>
    <col min="9" max="9" width="14.85546875" customWidth="1"/>
  </cols>
  <sheetData>
    <row r="1" spans="2:6" ht="15.75" thickBot="1" x14ac:dyDescent="0.3">
      <c r="D1" s="13"/>
      <c r="E1" s="13"/>
      <c r="F1" s="13"/>
    </row>
    <row r="2" spans="2:6" ht="15.75" customHeight="1" thickBot="1" x14ac:dyDescent="0.3">
      <c r="C2" s="14"/>
      <c r="D2" s="32" t="s">
        <v>14</v>
      </c>
      <c r="E2" s="33"/>
      <c r="F2" s="34"/>
    </row>
    <row r="3" spans="2:6" ht="15.75" thickBot="1" x14ac:dyDescent="0.3">
      <c r="B3" s="11" t="s">
        <v>13</v>
      </c>
      <c r="C3" s="12" t="s">
        <v>0</v>
      </c>
      <c r="D3" s="8" t="s">
        <v>7</v>
      </c>
      <c r="E3" s="7" t="s">
        <v>8</v>
      </c>
      <c r="F3" s="25" t="s">
        <v>9</v>
      </c>
    </row>
    <row r="4" spans="2:6" x14ac:dyDescent="0.25">
      <c r="B4" s="27" t="s">
        <v>15</v>
      </c>
      <c r="C4" s="9" t="s">
        <v>1</v>
      </c>
      <c r="D4" s="16">
        <f>SUBTOTAL(101,bubble1_[comparações])</f>
        <v>217119.5</v>
      </c>
      <c r="E4" s="16">
        <f>SUBTOTAL(101,bubble5_[comparações])</f>
        <v>5643302.4000000004</v>
      </c>
      <c r="F4" s="17">
        <f>SUBTOTAL(101,bubble10_[comparações])</f>
        <v>22542997.399999999</v>
      </c>
    </row>
    <row r="5" spans="2:6" x14ac:dyDescent="0.25">
      <c r="B5" s="28"/>
      <c r="C5" s="6" t="s">
        <v>2</v>
      </c>
      <c r="D5" s="18">
        <f>SUBTOTAL(101,selection1[comparações])</f>
        <v>1934.8</v>
      </c>
      <c r="E5" s="18">
        <f>SUBTOTAL(101,selection5[comparações])</f>
        <v>9567</v>
      </c>
      <c r="F5" s="21">
        <f>SUBTOTAL(101,selection10[comparações])</f>
        <v>19382</v>
      </c>
    </row>
    <row r="6" spans="2:6" x14ac:dyDescent="0.25">
      <c r="B6" s="28"/>
      <c r="C6" s="6" t="s">
        <v>3</v>
      </c>
      <c r="D6" s="18">
        <f>SUBTOTAL(101,insertion1[comparações])</f>
        <v>220236.79999999999</v>
      </c>
      <c r="E6" s="18">
        <f>SUBTOTAL(101,insertion5[comparações])</f>
        <v>5599468.7999999998</v>
      </c>
      <c r="F6" s="21">
        <f>SUBTOTAL(101,insertion10[comparações])</f>
        <v>22490222.5</v>
      </c>
    </row>
    <row r="7" spans="2:6" x14ac:dyDescent="0.25">
      <c r="B7" s="28"/>
      <c r="C7" s="6" t="s">
        <v>4</v>
      </c>
      <c r="D7" s="18">
        <f>SUBTOTAL(101,heap1[comparações])</f>
        <v>10025.6</v>
      </c>
      <c r="E7" s="18">
        <f>SUBTOTAL(101,heap5[comparações])</f>
        <v>64580.6</v>
      </c>
      <c r="F7" s="21">
        <f>SUBTOTAL(101,heap10[comparações])</f>
        <v>142255</v>
      </c>
    </row>
    <row r="8" spans="2:6" x14ac:dyDescent="0.25">
      <c r="B8" s="28"/>
      <c r="C8" s="6" t="s">
        <v>5</v>
      </c>
      <c r="D8" s="18">
        <f>SUBTOTAL(101,merge1[comparações])</f>
        <v>8503.5</v>
      </c>
      <c r="E8" s="18">
        <f>SUBTOTAL(101,merge5[comparações])</f>
        <v>53553.1</v>
      </c>
      <c r="F8" s="21">
        <f>SUBTOTAL(101,merge10[comparações])</f>
        <v>116473.5</v>
      </c>
    </row>
    <row r="9" spans="2:6" ht="15.75" thickBot="1" x14ac:dyDescent="0.3">
      <c r="B9" s="29"/>
      <c r="C9" s="10" t="s">
        <v>6</v>
      </c>
      <c r="D9" s="20">
        <f>SUBTOTAL(101,quick1[comparações])</f>
        <v>2944.8</v>
      </c>
      <c r="E9" s="18">
        <f>SUBTOTAL(101,quick5[comparações])</f>
        <v>12549.7</v>
      </c>
      <c r="F9" s="21">
        <f>SUBTOTAL(101,quick10[comparações])</f>
        <v>28452.799999999999</v>
      </c>
    </row>
    <row r="10" spans="2:6" x14ac:dyDescent="0.25">
      <c r="B10" s="27" t="s">
        <v>16</v>
      </c>
      <c r="C10" s="9" t="s">
        <v>1</v>
      </c>
      <c r="D10" s="16">
        <f>SUBTOTAL(101,bubble1_[trocas])</f>
        <v>217119.5</v>
      </c>
      <c r="E10" s="16">
        <f>SUBTOTAL(101,bubble5_[trocas])</f>
        <v>5643302.4000000004</v>
      </c>
      <c r="F10" s="17">
        <f>SUBTOTAL(101,bubble10_[trocas])</f>
        <v>22542997.399999999</v>
      </c>
    </row>
    <row r="11" spans="2:6" x14ac:dyDescent="0.25">
      <c r="B11" s="28"/>
      <c r="C11" s="6" t="s">
        <v>2</v>
      </c>
      <c r="D11" s="18">
        <f>SUBTOTAL(101,selection1[trocas])</f>
        <v>891.6</v>
      </c>
      <c r="E11" s="18">
        <f>SUBTOTAL(101,selection5[trocas])</f>
        <v>4513</v>
      </c>
      <c r="F11" s="21">
        <f>SUBTOTAL(101,selection10[trocas])</f>
        <v>9023.5</v>
      </c>
    </row>
    <row r="12" spans="2:6" x14ac:dyDescent="0.25">
      <c r="B12" s="28"/>
      <c r="C12" s="6" t="s">
        <v>3</v>
      </c>
      <c r="D12" s="18">
        <f>SUBTOTAL(101,insertion1[trocas])</f>
        <v>220236.79999999999</v>
      </c>
      <c r="E12" s="18">
        <f>SUBTOTAL(101,insertion5[trocas])</f>
        <v>5599468.7999999998</v>
      </c>
      <c r="F12" s="21">
        <f>SUBTOTAL(101,insertion100[trocas])</f>
        <v>2251491017.6999998</v>
      </c>
    </row>
    <row r="13" spans="2:6" x14ac:dyDescent="0.25">
      <c r="B13" s="28"/>
      <c r="C13" s="6" t="s">
        <v>4</v>
      </c>
      <c r="D13" s="18">
        <f>SUBTOTAL(101,heap1[trocas])</f>
        <v>8294.5</v>
      </c>
      <c r="E13" s="18">
        <f>SUBTOTAL(101,heap5[trocas])</f>
        <v>51817</v>
      </c>
      <c r="F13" s="21">
        <f>SUBTOTAL(101,heap10[trocas])</f>
        <v>112662</v>
      </c>
    </row>
    <row r="14" spans="2:6" x14ac:dyDescent="0.25">
      <c r="B14" s="28"/>
      <c r="C14" s="6" t="s">
        <v>5</v>
      </c>
      <c r="D14" s="18">
        <f>SUBTOTAL(101,merge1[trocas])</f>
        <v>8503.5</v>
      </c>
      <c r="E14" s="18">
        <f>SUBTOTAL(101,merge5[trocas])</f>
        <v>53553.1</v>
      </c>
      <c r="F14" s="21">
        <f>SUBTOTAL(101,merge10[trocas])</f>
        <v>116473.5</v>
      </c>
    </row>
    <row r="15" spans="2:6" ht="15.75" thickBot="1" x14ac:dyDescent="0.3">
      <c r="B15" s="29"/>
      <c r="C15" s="10" t="s">
        <v>6</v>
      </c>
      <c r="D15" s="18">
        <f>SUBTOTAL(101,quick1[trocas])</f>
        <v>3826.4</v>
      </c>
      <c r="E15" s="18">
        <f>SUBTOTAL(101,quick5[trocas])</f>
        <v>24955.3</v>
      </c>
      <c r="F15" s="21">
        <f>SUBTOTAL(101,quick10[trocas])</f>
        <v>54714.3</v>
      </c>
    </row>
    <row r="16" spans="2:6" x14ac:dyDescent="0.25">
      <c r="B16" s="27" t="s">
        <v>26</v>
      </c>
      <c r="C16" s="9" t="s">
        <v>1</v>
      </c>
      <c r="D16" s="16">
        <f>SUBTOTAL(101,bubble1_[tempo (ms)])</f>
        <v>4.6757</v>
      </c>
      <c r="E16" s="16">
        <f>SUBTOTAL(101,bubble5_[tempo (ms)])</f>
        <v>121.74323999999999</v>
      </c>
      <c r="F16" s="17">
        <f>SUBTOTAL(101,bubble10_[tempo (ms)])</f>
        <v>489.18585000000002</v>
      </c>
    </row>
    <row r="17" spans="2:6" x14ac:dyDescent="0.25">
      <c r="B17" s="28"/>
      <c r="C17" s="6" t="s">
        <v>2</v>
      </c>
      <c r="D17" s="18">
        <f>SUBTOTAL(101,selection1[tempo (ms)])</f>
        <v>1.22496</v>
      </c>
      <c r="E17" s="18">
        <f>SUBTOTAL(101,selection5[tempo (ms)])</f>
        <v>29.090519999999991</v>
      </c>
      <c r="F17" s="21">
        <f>SUBTOTAL(101,selection10[tempo (ms)])</f>
        <v>116.29857999999999</v>
      </c>
    </row>
    <row r="18" spans="2:6" x14ac:dyDescent="0.25">
      <c r="B18" s="28"/>
      <c r="C18" s="6" t="s">
        <v>3</v>
      </c>
      <c r="D18" s="18">
        <f>SUBTOTAL(101,insertion1[tempo (ms)])</f>
        <v>2.2249699999999999</v>
      </c>
      <c r="E18" s="18">
        <f>SUBTOTAL(101,insertion5[tempo (ms)])</f>
        <v>56.5687</v>
      </c>
      <c r="F18" s="21">
        <f>SUBTOTAL(101,insertion10[tempo (ms)])</f>
        <v>221.58328999999998</v>
      </c>
    </row>
    <row r="19" spans="2:6" x14ac:dyDescent="0.25">
      <c r="B19" s="28"/>
      <c r="C19" s="6" t="s">
        <v>4</v>
      </c>
      <c r="D19" s="18">
        <f>SUBTOTAL(101,heap1[tempo (ms)])</f>
        <v>0.23719999999999999</v>
      </c>
      <c r="E19" s="18">
        <f>SUBTOTAL(101,heap5[tempo (ms)])</f>
        <v>1.3660000000000001</v>
      </c>
      <c r="F19" s="21">
        <f>SUBTOTAL(101,heap10[tempo (ms)])</f>
        <v>3.1580599999999999</v>
      </c>
    </row>
    <row r="20" spans="2:6" x14ac:dyDescent="0.25">
      <c r="B20" s="28"/>
      <c r="C20" s="6" t="s">
        <v>5</v>
      </c>
      <c r="D20" s="18">
        <f>SUBTOTAL(101,merge1[tempo (ms)])</f>
        <v>0.17358000000000001</v>
      </c>
      <c r="E20" s="18">
        <f>SUBTOTAL(101,merge5[tempo (ms)])</f>
        <v>1.0823800000000001</v>
      </c>
      <c r="F20" s="21">
        <f>SUBTOTAL(101,merge10[tempo (ms)])</f>
        <v>2.3306800000000001</v>
      </c>
    </row>
    <row r="21" spans="2:6" ht="15.75" thickBot="1" x14ac:dyDescent="0.3">
      <c r="B21" s="29"/>
      <c r="C21" s="10" t="s">
        <v>6</v>
      </c>
      <c r="D21" s="20">
        <f>SUBTOTAL(101,quick1[tempo (ms)])</f>
        <v>9.4659999999999994E-2</v>
      </c>
      <c r="E21" s="20">
        <f>SUBTOTAL(101,quick5[tempo (ms)])</f>
        <v>0.51195000000000013</v>
      </c>
      <c r="F21" s="22">
        <f>SUBTOTAL(101,quick10[tempo (ms)])</f>
        <v>1.1559699999999999</v>
      </c>
    </row>
    <row r="23" spans="2:6" ht="15.75" thickBot="1" x14ac:dyDescent="0.3"/>
    <row r="24" spans="2:6" ht="16.5" thickBot="1" x14ac:dyDescent="0.3">
      <c r="D24" s="32" t="s">
        <v>14</v>
      </c>
      <c r="E24" s="33"/>
      <c r="F24" s="34"/>
    </row>
    <row r="25" spans="2:6" ht="15.75" thickBot="1" x14ac:dyDescent="0.3">
      <c r="B25" s="11" t="s">
        <v>13</v>
      </c>
      <c r="C25" s="12" t="s">
        <v>0</v>
      </c>
      <c r="D25" s="8" t="s">
        <v>10</v>
      </c>
      <c r="E25" s="7" t="s">
        <v>11</v>
      </c>
      <c r="F25" s="15" t="s">
        <v>12</v>
      </c>
    </row>
    <row r="26" spans="2:6" ht="15" customHeight="1" x14ac:dyDescent="0.25">
      <c r="B26" s="27" t="s">
        <v>15</v>
      </c>
      <c r="C26" s="9" t="s">
        <v>1</v>
      </c>
      <c r="D26" s="23">
        <f>SUBTOTAL(101,bubble20_[comparações])</f>
        <v>90171139.099999994</v>
      </c>
      <c r="E26" s="16">
        <f>SUBTOTAL(101,bubble50_[comparações])</f>
        <v>561640393.39999998</v>
      </c>
      <c r="F26" s="17">
        <f>SUBTOTAL(101,bubble100_[comparações])</f>
        <v>2249324511.6999998</v>
      </c>
    </row>
    <row r="27" spans="2:6" x14ac:dyDescent="0.25">
      <c r="B27" s="28"/>
      <c r="C27" s="6" t="s">
        <v>2</v>
      </c>
      <c r="D27" s="24">
        <f>SUBTOTAL(101,selection20[comparações])</f>
        <v>38592.300000000003</v>
      </c>
      <c r="E27" s="18">
        <f>SUBTOTAL(101,selection50[comparações])</f>
        <v>96472.5</v>
      </c>
      <c r="F27" s="19">
        <f>SUBTOTAL(101,selection100[comparações])</f>
        <v>192833.9</v>
      </c>
    </row>
    <row r="28" spans="2:6" x14ac:dyDescent="0.25">
      <c r="B28" s="28"/>
      <c r="C28" s="6" t="s">
        <v>3</v>
      </c>
      <c r="D28" s="24">
        <f>SUBTOTAL(101,insertion20[comparações])</f>
        <v>90025660.200000003</v>
      </c>
      <c r="E28" s="18">
        <f>SUBTOTAL(101,insertion50[comparações])</f>
        <v>561655771.89999998</v>
      </c>
      <c r="F28" s="19">
        <f>SUBTOTAL(101,insertion100[comparações])</f>
        <v>2251491017.6999998</v>
      </c>
    </row>
    <row r="29" spans="2:6" x14ac:dyDescent="0.25">
      <c r="B29" s="28"/>
      <c r="C29" s="6" t="s">
        <v>4</v>
      </c>
      <c r="D29" s="24">
        <f>SUBTOTAL(101,heap20[comparações])</f>
        <v>309796.2</v>
      </c>
      <c r="E29" s="18">
        <f>SUBTOTAL(101,heap50[comparações])</f>
        <v>856878</v>
      </c>
      <c r="F29" s="19">
        <f>SUBTOTAL(101,heap100[comparações])</f>
        <v>1841105.9</v>
      </c>
    </row>
    <row r="30" spans="2:6" x14ac:dyDescent="0.25">
      <c r="B30" s="28"/>
      <c r="C30" s="6" t="s">
        <v>5</v>
      </c>
      <c r="D30" s="24">
        <f>SUBTOTAL(101,merge20[comparações])</f>
        <v>252198.5</v>
      </c>
      <c r="E30" s="18">
        <f>SUBTOTAL(101,merge50[comparações])</f>
        <v>692427.4</v>
      </c>
      <c r="F30" s="19">
        <f>SUBTOTAL(101,merge100[comparações])</f>
        <v>1479957.7</v>
      </c>
    </row>
    <row r="31" spans="2:6" ht="15.75" thickBot="1" x14ac:dyDescent="0.3">
      <c r="B31" s="29"/>
      <c r="C31" s="10" t="s">
        <v>6</v>
      </c>
      <c r="D31" s="24">
        <f>SUBTOTAL(101,quick20[comparações])</f>
        <v>51680.7</v>
      </c>
      <c r="E31" s="18">
        <f>SUBTOTAL(101,quick50[comparações])</f>
        <v>156496.29999999999</v>
      </c>
      <c r="F31" s="19">
        <f>SUBTOTAL(101,quick100[comparações])</f>
        <v>251642.2</v>
      </c>
    </row>
    <row r="32" spans="2:6" ht="15" customHeight="1" x14ac:dyDescent="0.25">
      <c r="B32" s="27" t="s">
        <v>16</v>
      </c>
      <c r="C32" s="9" t="s">
        <v>1</v>
      </c>
      <c r="D32" s="23">
        <f>SUBTOTAL(101,bubble20_[trocas])</f>
        <v>90171139.099999994</v>
      </c>
      <c r="E32" s="16">
        <f>SUBTOTAL(101,bubble50_[trocas])</f>
        <v>561640393.39999998</v>
      </c>
      <c r="F32" s="17">
        <f>SUBTOTAL(101,bubble100_[trocas])</f>
        <v>2249324511.6999998</v>
      </c>
    </row>
    <row r="33" spans="2:6" x14ac:dyDescent="0.25">
      <c r="B33" s="28"/>
      <c r="C33" s="6" t="s">
        <v>2</v>
      </c>
      <c r="D33" s="24">
        <f>SUBTOTAL(101,selection20[trocas])</f>
        <v>17978.400000000001</v>
      </c>
      <c r="E33" s="18">
        <f>SUBTOTAL(101,selection50[trocas])</f>
        <v>45021.8</v>
      </c>
      <c r="F33" s="21">
        <f>SUBTOTAL(101,selection100[trocas])</f>
        <v>89999</v>
      </c>
    </row>
    <row r="34" spans="2:6" x14ac:dyDescent="0.25">
      <c r="B34" s="28"/>
      <c r="C34" s="6" t="s">
        <v>3</v>
      </c>
      <c r="D34" s="24">
        <f>SUBTOTAL(101,insertion20[trocas])</f>
        <v>90025660.200000003</v>
      </c>
      <c r="E34" s="18">
        <f>SUBTOTAL(101,insertion50[trocas])</f>
        <v>561655771.89999998</v>
      </c>
      <c r="F34" s="21">
        <f>SUBTOTAL(101,insertion100[trocas])</f>
        <v>2251491017.6999998</v>
      </c>
    </row>
    <row r="35" spans="2:6" x14ac:dyDescent="0.25">
      <c r="B35" s="28"/>
      <c r="C35" s="6" t="s">
        <v>4</v>
      </c>
      <c r="D35" s="24">
        <f>SUBTOTAL(101,heap20[trocas])</f>
        <v>243278.6</v>
      </c>
      <c r="E35" s="18">
        <f>SUBTOTAL(101,heap50[trocas])</f>
        <v>665041</v>
      </c>
      <c r="F35" s="21">
        <f>SUBTOTAL(101,heap100[trocas])</f>
        <v>1419096.2</v>
      </c>
    </row>
    <row r="36" spans="2:6" x14ac:dyDescent="0.25">
      <c r="B36" s="28"/>
      <c r="C36" s="6" t="s">
        <v>5</v>
      </c>
      <c r="D36" s="24">
        <f>SUBTOTAL(101,merge20[trocas])</f>
        <v>252198.5</v>
      </c>
      <c r="E36" s="18">
        <f>SUBTOTAL(101,merge50[trocas])</f>
        <v>692427.4</v>
      </c>
      <c r="F36" s="21">
        <f>SUBTOTAL(101,merge100[trocas])</f>
        <v>1479957.7</v>
      </c>
    </row>
    <row r="37" spans="2:6" ht="15.75" thickBot="1" x14ac:dyDescent="0.3">
      <c r="B37" s="29"/>
      <c r="C37" s="10" t="s">
        <v>6</v>
      </c>
      <c r="D37" s="24">
        <f>SUBTOTAL(101,quick20[trocas])</f>
        <v>119600.2</v>
      </c>
      <c r="E37" s="18">
        <f>SUBTOTAL(101,quick50[trocas])</f>
        <v>330773.5</v>
      </c>
      <c r="F37" s="21">
        <f>SUBTOTAL(101,quick100[trocas])</f>
        <v>712750.4</v>
      </c>
    </row>
    <row r="38" spans="2:6" ht="15" customHeight="1" x14ac:dyDescent="0.25">
      <c r="B38" s="27" t="s">
        <v>26</v>
      </c>
      <c r="C38" s="9" t="s">
        <v>1</v>
      </c>
      <c r="D38" s="16">
        <f>SUBTOTAL(101,bubble20_[tempo (ms)])</f>
        <v>1869.3245099999997</v>
      </c>
      <c r="E38" s="16">
        <f>SUBTOTAL(101,bubble50_[tempo (ms)])</f>
        <v>11710.047569999999</v>
      </c>
      <c r="F38" s="17">
        <f>SUBTOTAL(101,bubble100_[tempo (ms)])</f>
        <v>46621.516409999997</v>
      </c>
    </row>
    <row r="39" spans="2:6" x14ac:dyDescent="0.25">
      <c r="B39" s="28"/>
      <c r="C39" s="6" t="s">
        <v>2</v>
      </c>
      <c r="D39" s="18">
        <f>SUBTOTAL(101,selection20[tempo (ms)])</f>
        <v>430.28166999999996</v>
      </c>
      <c r="E39" s="18">
        <f>SUBTOTAL(101,selection50[tempo (ms)])</f>
        <v>2684.2264700000001</v>
      </c>
      <c r="F39" s="21">
        <f>SUBTOTAL(101,selection100[tempo (ms)])</f>
        <v>10634.502340000001</v>
      </c>
    </row>
    <row r="40" spans="2:6" x14ac:dyDescent="0.25">
      <c r="B40" s="28"/>
      <c r="C40" s="6" t="s">
        <v>3</v>
      </c>
      <c r="D40" s="18">
        <f>SUBTOTAL(101,insertion20[tempo (ms)])</f>
        <v>814.79431</v>
      </c>
      <c r="E40" s="18">
        <f>SUBTOTAL(101,insertion50[tempo (ms)])</f>
        <v>5044.3493499999995</v>
      </c>
      <c r="F40" s="21">
        <f>SUBTOTAL(101,insertion100[tempo (ms)])</f>
        <v>20429.910169999996</v>
      </c>
    </row>
    <row r="41" spans="2:6" x14ac:dyDescent="0.25">
      <c r="B41" s="28"/>
      <c r="C41" s="6" t="s">
        <v>4</v>
      </c>
      <c r="D41" s="18">
        <f>SUBTOTAL(101,heap20[tempo (ms)])</f>
        <v>6.4082499999999998</v>
      </c>
      <c r="E41" s="18">
        <f>SUBTOTAL(101,heap50[tempo (ms)])</f>
        <v>17.996259999999999</v>
      </c>
      <c r="F41" s="21">
        <f>SUBTOTAL(101,heap100[tempo (ms)])</f>
        <v>36.873100000000001</v>
      </c>
    </row>
    <row r="42" spans="2:6" x14ac:dyDescent="0.25">
      <c r="B42" s="28"/>
      <c r="C42" s="6" t="s">
        <v>5</v>
      </c>
      <c r="D42" s="18">
        <f>SUBTOTAL(101,merge20[tempo (ms)])</f>
        <v>4.6753799999999996</v>
      </c>
      <c r="E42" s="18">
        <f>SUBTOTAL(101,merge50[tempo (ms)])</f>
        <v>12.256310000000003</v>
      </c>
      <c r="F42" s="21">
        <f>SUBTOTAL(101,merge100[tempo (ms)])</f>
        <v>25.664929999999998</v>
      </c>
    </row>
    <row r="43" spans="2:6" ht="15.75" thickBot="1" x14ac:dyDescent="0.3">
      <c r="B43" s="29"/>
      <c r="C43" s="10" t="s">
        <v>6</v>
      </c>
      <c r="D43" s="20">
        <f>SUBTOTAL(101,quick20[tempo (ms)])</f>
        <v>2.0969100000000003</v>
      </c>
      <c r="E43" s="20">
        <f>SUBTOTAL(101,quick50[tempo (ms)])</f>
        <v>5.7232199999999995</v>
      </c>
      <c r="F43" s="22">
        <f>SUBTOTAL(101,quick100[tempo (ms)])</f>
        <v>12.92699</v>
      </c>
    </row>
  </sheetData>
  <mergeCells count="8">
    <mergeCell ref="D2:F2"/>
    <mergeCell ref="D24:F24"/>
    <mergeCell ref="B26:B31"/>
    <mergeCell ref="B32:B37"/>
    <mergeCell ref="B38:B43"/>
    <mergeCell ref="B4:B9"/>
    <mergeCell ref="B10:B15"/>
    <mergeCell ref="B16:B2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rgb="FF7030A0"/>
  </sheetPr>
  <dimension ref="N1:U31"/>
  <sheetViews>
    <sheetView showWhiteSpace="0" zoomScale="85" zoomScaleNormal="85" workbookViewId="0">
      <selection activeCell="J9" sqref="J9"/>
    </sheetView>
  </sheetViews>
  <sheetFormatPr defaultRowHeight="15" x14ac:dyDescent="0.25"/>
  <cols>
    <col min="1" max="1" width="11" customWidth="1"/>
    <col min="2" max="2" width="15.140625" customWidth="1"/>
    <col min="3" max="3" width="10.5703125" customWidth="1"/>
    <col min="4" max="5" width="14.85546875" customWidth="1"/>
    <col min="6" max="6" width="17" customWidth="1"/>
    <col min="7" max="7" width="15.5703125" customWidth="1"/>
    <col min="8" max="8" width="14.7109375" customWidth="1"/>
    <col min="9" max="9" width="17.5703125" customWidth="1"/>
    <col min="10" max="13" width="9.140625" customWidth="1"/>
    <col min="14" max="14" width="12.5703125" customWidth="1"/>
    <col min="15" max="15" width="9.140625" customWidth="1"/>
    <col min="16" max="16" width="11.85546875" customWidth="1"/>
    <col min="17" max="17" width="12.140625" customWidth="1"/>
    <col min="18" max="18" width="16.140625" customWidth="1"/>
    <col min="19" max="19" width="13.7109375" customWidth="1"/>
    <col min="20" max="20" width="14.140625" customWidth="1"/>
    <col min="21" max="21" width="16.7109375" customWidth="1"/>
  </cols>
  <sheetData>
    <row r="1" spans="14:21" ht="15.75" thickBot="1" x14ac:dyDescent="0.3">
      <c r="P1" s="13"/>
      <c r="Q1" s="13"/>
      <c r="R1" s="13"/>
      <c r="S1" s="13"/>
      <c r="T1" s="13"/>
      <c r="U1" s="13"/>
    </row>
    <row r="2" spans="14:21" ht="15.75" customHeight="1" thickBot="1" x14ac:dyDescent="0.3">
      <c r="O2" s="14"/>
      <c r="P2" s="30" t="s">
        <v>14</v>
      </c>
      <c r="Q2" s="30"/>
      <c r="R2" s="30"/>
      <c r="S2" s="30"/>
      <c r="T2" s="30"/>
      <c r="U2" s="31"/>
    </row>
    <row r="3" spans="14:21" ht="15.75" thickBot="1" x14ac:dyDescent="0.3">
      <c r="N3" s="11" t="s">
        <v>13</v>
      </c>
      <c r="O3" s="12" t="s">
        <v>0</v>
      </c>
      <c r="P3" s="8" t="s">
        <v>7</v>
      </c>
      <c r="Q3" s="7" t="s">
        <v>8</v>
      </c>
      <c r="R3" s="7" t="s">
        <v>9</v>
      </c>
      <c r="S3" s="7" t="s">
        <v>10</v>
      </c>
      <c r="T3" s="7" t="s">
        <v>11</v>
      </c>
      <c r="U3" s="15" t="s">
        <v>12</v>
      </c>
    </row>
    <row r="4" spans="14:21" x14ac:dyDescent="0.25">
      <c r="N4" s="27" t="s">
        <v>15</v>
      </c>
      <c r="O4" s="9" t="s">
        <v>1</v>
      </c>
      <c r="P4" s="16">
        <f>SUBTOTAL(101,bubble1_[comparações])</f>
        <v>217119.5</v>
      </c>
      <c r="Q4" s="16">
        <f>SUBTOTAL(101,bubble5_[comparações])</f>
        <v>5643302.4000000004</v>
      </c>
      <c r="R4" s="16">
        <f>SUBTOTAL(101,bubble10_[comparações])</f>
        <v>22542997.399999999</v>
      </c>
      <c r="S4" s="16">
        <f>SUBTOTAL(101,bubble20_[comparações])</f>
        <v>90171139.099999994</v>
      </c>
      <c r="T4" s="16">
        <f>SUBTOTAL(101,bubble50_[comparações])</f>
        <v>561640393.39999998</v>
      </c>
      <c r="U4" s="17">
        <f>SUBTOTAL(101,bubble100_[comparações])</f>
        <v>2249324511.6999998</v>
      </c>
    </row>
    <row r="5" spans="14:21" x14ac:dyDescent="0.25">
      <c r="N5" s="28"/>
      <c r="O5" s="6" t="s">
        <v>2</v>
      </c>
      <c r="P5" s="18">
        <f>SUBTOTAL(101,selection1[comparações])</f>
        <v>1934.8</v>
      </c>
      <c r="Q5" s="18">
        <f>SUBTOTAL(101,selection5[comparações])</f>
        <v>9567</v>
      </c>
      <c r="R5" s="18">
        <f>SUBTOTAL(101,selection10[comparações])</f>
        <v>19382</v>
      </c>
      <c r="S5" s="18">
        <f>SUBTOTAL(101,selection20[comparações])</f>
        <v>38592.300000000003</v>
      </c>
      <c r="T5" s="18">
        <f>SUBTOTAL(101,selection50[comparações])</f>
        <v>96472.5</v>
      </c>
      <c r="U5" s="19">
        <f>SUBTOTAL(101,selection100[comparações])</f>
        <v>192833.9</v>
      </c>
    </row>
    <row r="6" spans="14:21" x14ac:dyDescent="0.25">
      <c r="N6" s="28"/>
      <c r="O6" s="6" t="s">
        <v>3</v>
      </c>
      <c r="P6" s="18">
        <f>SUBTOTAL(101,insertion1[comparações])</f>
        <v>220236.79999999999</v>
      </c>
      <c r="Q6" s="18">
        <f>SUBTOTAL(101,insertion5[comparações])</f>
        <v>5599468.7999999998</v>
      </c>
      <c r="R6" s="18">
        <f>SUBTOTAL(101,insertion10[comparações])</f>
        <v>22490222.5</v>
      </c>
      <c r="S6" s="18">
        <f>SUBTOTAL(101,insertion20[comparações])</f>
        <v>90025660.200000003</v>
      </c>
      <c r="T6" s="18">
        <f>SUBTOTAL(101,insertion50[comparações])</f>
        <v>561655771.89999998</v>
      </c>
      <c r="U6" s="19">
        <f>SUBTOTAL(101,insertion100[comparações])</f>
        <v>2251491017.6999998</v>
      </c>
    </row>
    <row r="7" spans="14:21" x14ac:dyDescent="0.25">
      <c r="N7" s="28"/>
      <c r="O7" s="6" t="s">
        <v>4</v>
      </c>
      <c r="P7" s="18">
        <f>SUBTOTAL(101,heap1[comparações])</f>
        <v>10025.6</v>
      </c>
      <c r="Q7" s="18">
        <f>SUBTOTAL(101,heap5[comparações])</f>
        <v>64580.6</v>
      </c>
      <c r="R7" s="18">
        <f>SUBTOTAL(101,heap10[comparações])</f>
        <v>142255</v>
      </c>
      <c r="S7" s="18">
        <f>SUBTOTAL(101,heap20[comparações])</f>
        <v>309796.2</v>
      </c>
      <c r="T7" s="18">
        <f>SUBTOTAL(101,heap50[comparações])</f>
        <v>856878</v>
      </c>
      <c r="U7" s="19">
        <f>SUBTOTAL(101,heap100[comparações])</f>
        <v>1841105.9</v>
      </c>
    </row>
    <row r="8" spans="14:21" x14ac:dyDescent="0.25">
      <c r="N8" s="28"/>
      <c r="O8" s="6" t="s">
        <v>5</v>
      </c>
      <c r="P8" s="18">
        <f>SUBTOTAL(101,merge1[comparações])</f>
        <v>8503.5</v>
      </c>
      <c r="Q8" s="18">
        <f>SUBTOTAL(101,merge5[comparações])</f>
        <v>53553.1</v>
      </c>
      <c r="R8" s="18">
        <f>SUBTOTAL(101,merge10[comparações])</f>
        <v>116473.5</v>
      </c>
      <c r="S8" s="18">
        <f>SUBTOTAL(101,merge20[comparações])</f>
        <v>252198.5</v>
      </c>
      <c r="T8" s="18">
        <f>SUBTOTAL(101,merge50[comparações])</f>
        <v>692427.4</v>
      </c>
      <c r="U8" s="19">
        <f>SUBTOTAL(101,merge100[comparações])</f>
        <v>1479957.7</v>
      </c>
    </row>
    <row r="9" spans="14:21" ht="15.75" thickBot="1" x14ac:dyDescent="0.3">
      <c r="N9" s="29"/>
      <c r="O9" s="10" t="s">
        <v>6</v>
      </c>
      <c r="P9" s="20">
        <f>SUBTOTAL(101,quick1[comparações])</f>
        <v>2944.8</v>
      </c>
      <c r="Q9" s="20">
        <f>SUBTOTAL(101,quick5[comparações])</f>
        <v>12549.7</v>
      </c>
      <c r="R9" s="20">
        <f>SUBTOTAL(101,quick10[comparações])</f>
        <v>28452.799999999999</v>
      </c>
      <c r="S9" s="20">
        <f>SUBTOTAL(101,quick20[comparações])</f>
        <v>51680.7</v>
      </c>
      <c r="T9" s="20">
        <f>SUBTOTAL(101,quick50[comparações])</f>
        <v>156496.29999999999</v>
      </c>
      <c r="U9" s="26">
        <f>SUBTOTAL(101,quick100[comparações])</f>
        <v>251642.2</v>
      </c>
    </row>
    <row r="14" spans="14:21" ht="15.75" thickBot="1" x14ac:dyDescent="0.3">
      <c r="P14" s="13"/>
      <c r="Q14" s="13"/>
      <c r="R14" s="13"/>
      <c r="S14" s="13"/>
      <c r="T14" s="13"/>
      <c r="U14" s="13"/>
    </row>
    <row r="15" spans="14:21" ht="16.5" customHeight="1" thickBot="1" x14ac:dyDescent="0.3">
      <c r="O15" s="14"/>
      <c r="P15" s="30" t="s">
        <v>14</v>
      </c>
      <c r="Q15" s="30"/>
      <c r="R15" s="30"/>
      <c r="S15" s="30"/>
      <c r="T15" s="30"/>
      <c r="U15" s="31"/>
    </row>
    <row r="16" spans="14:21" ht="15.75" thickBot="1" x14ac:dyDescent="0.3">
      <c r="N16" s="11" t="s">
        <v>13</v>
      </c>
      <c r="O16" s="12" t="s">
        <v>0</v>
      </c>
      <c r="P16" s="8" t="s">
        <v>7</v>
      </c>
      <c r="Q16" s="7" t="s">
        <v>8</v>
      </c>
      <c r="R16" s="7" t="s">
        <v>9</v>
      </c>
      <c r="S16" s="7" t="s">
        <v>10</v>
      </c>
      <c r="T16" s="7" t="s">
        <v>11</v>
      </c>
      <c r="U16" s="15" t="s">
        <v>12</v>
      </c>
    </row>
    <row r="17" spans="14:21" x14ac:dyDescent="0.25">
      <c r="N17" s="27" t="s">
        <v>16</v>
      </c>
      <c r="O17" s="9" t="s">
        <v>1</v>
      </c>
      <c r="P17" s="16">
        <f>SUBTOTAL(101,bubble1_[trocas])</f>
        <v>217119.5</v>
      </c>
      <c r="Q17" s="16">
        <f>SUBTOTAL(101,bubble5_[trocas])</f>
        <v>5643302.4000000004</v>
      </c>
      <c r="R17" s="16">
        <f>SUBTOTAL(101,bubble10_[trocas])</f>
        <v>22542997.399999999</v>
      </c>
      <c r="S17" s="16">
        <f>SUBTOTAL(101,bubble20_[trocas])</f>
        <v>90171139.099999994</v>
      </c>
      <c r="T17" s="16">
        <f>SUBTOTAL(101,bubble50_[trocas])</f>
        <v>561640393.39999998</v>
      </c>
      <c r="U17" s="17">
        <f>SUBTOTAL(101,bubble100_[trocas])</f>
        <v>2249324511.6999998</v>
      </c>
    </row>
    <row r="18" spans="14:21" x14ac:dyDescent="0.25">
      <c r="N18" s="28"/>
      <c r="O18" s="6" t="s">
        <v>2</v>
      </c>
      <c r="P18" s="18">
        <f>SUBTOTAL(101,selection1[trocas])</f>
        <v>891.6</v>
      </c>
      <c r="Q18" s="18">
        <f>SUBTOTAL(101,selection5[trocas])</f>
        <v>4513</v>
      </c>
      <c r="R18" s="18">
        <f>SUBTOTAL(101,selection10[trocas])</f>
        <v>9023.5</v>
      </c>
      <c r="S18" s="18">
        <f>SUBTOTAL(101,selection20[trocas])</f>
        <v>17978.400000000001</v>
      </c>
      <c r="T18" s="18">
        <f>SUBTOTAL(101,selection50[trocas])</f>
        <v>45021.8</v>
      </c>
      <c r="U18" s="21">
        <f>SUBTOTAL(101,selection100[trocas])</f>
        <v>89999</v>
      </c>
    </row>
    <row r="19" spans="14:21" x14ac:dyDescent="0.25">
      <c r="N19" s="28"/>
      <c r="O19" s="6" t="s">
        <v>3</v>
      </c>
      <c r="P19" s="18">
        <f>SUBTOTAL(101,insertion1[trocas])</f>
        <v>220236.79999999999</v>
      </c>
      <c r="Q19" s="18">
        <f>SUBTOTAL(101,insertion5[trocas])</f>
        <v>5599468.7999999998</v>
      </c>
      <c r="R19" s="18">
        <f>SUBTOTAL(101,insertion100[trocas])</f>
        <v>2251491017.6999998</v>
      </c>
      <c r="S19" s="18">
        <f>SUBTOTAL(101,insertion20[trocas])</f>
        <v>90025660.200000003</v>
      </c>
      <c r="T19" s="18">
        <f>SUBTOTAL(101,insertion50[trocas])</f>
        <v>561655771.89999998</v>
      </c>
      <c r="U19" s="21">
        <f>SUBTOTAL(101,insertion100[trocas])</f>
        <v>2251491017.6999998</v>
      </c>
    </row>
    <row r="20" spans="14:21" x14ac:dyDescent="0.25">
      <c r="N20" s="28"/>
      <c r="O20" s="6" t="s">
        <v>4</v>
      </c>
      <c r="P20" s="18">
        <f>SUBTOTAL(101,heap1[trocas])</f>
        <v>8294.5</v>
      </c>
      <c r="Q20" s="18">
        <f>SUBTOTAL(101,heap5[trocas])</f>
        <v>51817</v>
      </c>
      <c r="R20" s="18">
        <f>SUBTOTAL(101,heap10[trocas])</f>
        <v>112662</v>
      </c>
      <c r="S20" s="18">
        <f>SUBTOTAL(101,heap20[trocas])</f>
        <v>243278.6</v>
      </c>
      <c r="T20" s="18">
        <f>SUBTOTAL(101,heap50[trocas])</f>
        <v>665041</v>
      </c>
      <c r="U20" s="21">
        <f>SUBTOTAL(101,heap100[trocas])</f>
        <v>1419096.2</v>
      </c>
    </row>
    <row r="21" spans="14:21" x14ac:dyDescent="0.25">
      <c r="N21" s="28"/>
      <c r="O21" s="6" t="s">
        <v>5</v>
      </c>
      <c r="P21" s="18">
        <f>SUBTOTAL(101,merge1[trocas])</f>
        <v>8503.5</v>
      </c>
      <c r="Q21" s="18">
        <f>SUBTOTAL(101,merge5[trocas])</f>
        <v>53553.1</v>
      </c>
      <c r="R21" s="18">
        <f>SUBTOTAL(101,merge10[trocas])</f>
        <v>116473.5</v>
      </c>
      <c r="S21" s="18">
        <f>SUBTOTAL(101,merge20[trocas])</f>
        <v>252198.5</v>
      </c>
      <c r="T21" s="18">
        <f>SUBTOTAL(101,merge50[trocas])</f>
        <v>692427.4</v>
      </c>
      <c r="U21" s="21">
        <f>SUBTOTAL(101,merge100[trocas])</f>
        <v>1479957.7</v>
      </c>
    </row>
    <row r="22" spans="14:21" ht="15.75" thickBot="1" x14ac:dyDescent="0.3">
      <c r="N22" s="29"/>
      <c r="O22" s="10" t="s">
        <v>6</v>
      </c>
      <c r="P22" s="20">
        <f>SUBTOTAL(101,quick1[trocas])</f>
        <v>3826.4</v>
      </c>
      <c r="Q22" s="20">
        <f>SUBTOTAL(101,quick5[trocas])</f>
        <v>24955.3</v>
      </c>
      <c r="R22" s="20">
        <f>SUBTOTAL(101,quick10[trocas])</f>
        <v>54714.3</v>
      </c>
      <c r="S22" s="20">
        <f>SUBTOTAL(101,quick20[trocas])</f>
        <v>119600.2</v>
      </c>
      <c r="T22" s="20">
        <f>SUBTOTAL(101,quick50[trocas])</f>
        <v>330773.5</v>
      </c>
      <c r="U22" s="22">
        <f>SUBTOTAL(101,quick100[trocas])</f>
        <v>712750.4</v>
      </c>
    </row>
    <row r="23" spans="14:21" ht="15.75" thickBot="1" x14ac:dyDescent="0.3">
      <c r="P23" s="13"/>
      <c r="Q23" s="13"/>
      <c r="R23" s="13"/>
      <c r="S23" s="13"/>
      <c r="T23" s="13"/>
      <c r="U23" s="13"/>
    </row>
    <row r="24" spans="14:21" ht="16.5" customHeight="1" thickBot="1" x14ac:dyDescent="0.3">
      <c r="O24" s="14"/>
      <c r="P24" s="30" t="s">
        <v>14</v>
      </c>
      <c r="Q24" s="30"/>
      <c r="R24" s="30"/>
      <c r="S24" s="30"/>
      <c r="T24" s="30"/>
      <c r="U24" s="31"/>
    </row>
    <row r="25" spans="14:21" ht="15.75" thickBot="1" x14ac:dyDescent="0.3">
      <c r="N25" s="11" t="s">
        <v>13</v>
      </c>
      <c r="O25" s="12" t="s">
        <v>0</v>
      </c>
      <c r="P25" s="8" t="s">
        <v>7</v>
      </c>
      <c r="Q25" s="7" t="s">
        <v>8</v>
      </c>
      <c r="R25" s="7" t="s">
        <v>9</v>
      </c>
      <c r="S25" s="7" t="s">
        <v>10</v>
      </c>
      <c r="T25" s="7" t="s">
        <v>11</v>
      </c>
      <c r="U25" s="15" t="s">
        <v>12</v>
      </c>
    </row>
    <row r="26" spans="14:21" ht="15" customHeight="1" x14ac:dyDescent="0.25">
      <c r="N26" s="27" t="s">
        <v>26</v>
      </c>
      <c r="O26" s="9" t="s">
        <v>1</v>
      </c>
      <c r="P26" s="16">
        <f>SUBTOTAL(101,bubble1_[tempo (ms)])</f>
        <v>4.6757</v>
      </c>
      <c r="Q26" s="16">
        <f>SUBTOTAL(101,bubble5_[tempo (ms)])</f>
        <v>121.74323999999999</v>
      </c>
      <c r="R26" s="16">
        <f>SUBTOTAL(101,bubble10_[tempo (ms)])</f>
        <v>489.18585000000002</v>
      </c>
      <c r="S26" s="16">
        <f>SUBTOTAL(101,bubble20_[tempo (ms)])</f>
        <v>1869.3245099999997</v>
      </c>
      <c r="T26" s="16">
        <f>SUBTOTAL(101,bubble50_[tempo (ms)])</f>
        <v>11710.047569999999</v>
      </c>
      <c r="U26" s="17">
        <f>SUBTOTAL(101,bubble100_[tempo (ms)])</f>
        <v>46621.516409999997</v>
      </c>
    </row>
    <row r="27" spans="14:21" x14ac:dyDescent="0.25">
      <c r="N27" s="28"/>
      <c r="O27" s="6" t="s">
        <v>2</v>
      </c>
      <c r="P27" s="18">
        <f>SUBTOTAL(101,selection1[tempo (ms)])</f>
        <v>1.22496</v>
      </c>
      <c r="Q27" s="18">
        <f>SUBTOTAL(101,selection5[tempo (ms)])</f>
        <v>29.090519999999991</v>
      </c>
      <c r="R27" s="18">
        <f>SUBTOTAL(101,selection10[tempo (ms)])</f>
        <v>116.29857999999999</v>
      </c>
      <c r="S27" s="18">
        <f>SUBTOTAL(101,selection20[tempo (ms)])</f>
        <v>430.28166999999996</v>
      </c>
      <c r="T27" s="18">
        <f>SUBTOTAL(101,selection50[tempo (ms)])</f>
        <v>2684.2264700000001</v>
      </c>
      <c r="U27" s="21">
        <f>SUBTOTAL(101,selection100[tempo (ms)])</f>
        <v>10634.502340000001</v>
      </c>
    </row>
    <row r="28" spans="14:21" x14ac:dyDescent="0.25">
      <c r="N28" s="28"/>
      <c r="O28" s="6" t="s">
        <v>3</v>
      </c>
      <c r="P28" s="18">
        <f>SUBTOTAL(101,insertion1[tempo (ms)])</f>
        <v>2.2249699999999999</v>
      </c>
      <c r="Q28" s="18">
        <f>SUBTOTAL(101,insertion5[tempo (ms)])</f>
        <v>56.5687</v>
      </c>
      <c r="R28" s="18">
        <f>SUBTOTAL(101,insertion10[tempo (ms)])</f>
        <v>221.58328999999998</v>
      </c>
      <c r="S28" s="18">
        <f>SUBTOTAL(101,insertion20[tempo (ms)])</f>
        <v>814.79431</v>
      </c>
      <c r="T28" s="18">
        <f>SUBTOTAL(101,insertion50[tempo (ms)])</f>
        <v>5044.3493499999995</v>
      </c>
      <c r="U28" s="21">
        <f>SUBTOTAL(101,insertion100[tempo (ms)])</f>
        <v>20429.910169999996</v>
      </c>
    </row>
    <row r="29" spans="14:21" x14ac:dyDescent="0.25">
      <c r="N29" s="28"/>
      <c r="O29" s="6" t="s">
        <v>4</v>
      </c>
      <c r="P29" s="18">
        <f>SUBTOTAL(101,heap1[tempo (ms)])</f>
        <v>0.23719999999999999</v>
      </c>
      <c r="Q29" s="18">
        <f>SUBTOTAL(101,heap5[tempo (ms)])</f>
        <v>1.3660000000000001</v>
      </c>
      <c r="R29" s="18">
        <f>SUBTOTAL(101,heap10[tempo (ms)])</f>
        <v>3.1580599999999999</v>
      </c>
      <c r="S29" s="18">
        <f>SUBTOTAL(101,heap20[tempo (ms)])</f>
        <v>6.4082499999999998</v>
      </c>
      <c r="T29" s="18">
        <f>SUBTOTAL(101,heap50[tempo (ms)])</f>
        <v>17.996259999999999</v>
      </c>
      <c r="U29" s="21">
        <f>SUBTOTAL(101,heap100[tempo (ms)])</f>
        <v>36.873100000000001</v>
      </c>
    </row>
    <row r="30" spans="14:21" x14ac:dyDescent="0.25">
      <c r="N30" s="28"/>
      <c r="O30" s="6" t="s">
        <v>5</v>
      </c>
      <c r="P30" s="18">
        <f>SUBTOTAL(101,merge1[tempo (ms)])</f>
        <v>0.17358000000000001</v>
      </c>
      <c r="Q30" s="18">
        <f>SUBTOTAL(101,merge5[tempo (ms)])</f>
        <v>1.0823800000000001</v>
      </c>
      <c r="R30" s="18">
        <f>SUBTOTAL(101,merge10[tempo (ms)])</f>
        <v>2.3306800000000001</v>
      </c>
      <c r="S30" s="18">
        <f>SUBTOTAL(101,merge20[tempo (ms)])</f>
        <v>4.6753799999999996</v>
      </c>
      <c r="T30" s="18">
        <f>SUBTOTAL(101,merge50[tempo (ms)])</f>
        <v>12.256310000000003</v>
      </c>
      <c r="U30" s="21">
        <f>SUBTOTAL(101,merge100[tempo (ms)])</f>
        <v>25.664929999999998</v>
      </c>
    </row>
    <row r="31" spans="14:21" ht="15.75" thickBot="1" x14ac:dyDescent="0.3">
      <c r="N31" s="29"/>
      <c r="O31" s="10" t="s">
        <v>6</v>
      </c>
      <c r="P31" s="20">
        <f>SUBTOTAL(101,quick1[tempo (ms)])</f>
        <v>9.4659999999999994E-2</v>
      </c>
      <c r="Q31" s="20">
        <f>SUBTOTAL(101,quick5[tempo (ms)])</f>
        <v>0.51195000000000013</v>
      </c>
      <c r="R31" s="20">
        <f>SUBTOTAL(101,quick10[tempo (ms)])</f>
        <v>1.1559699999999999</v>
      </c>
      <c r="S31" s="20">
        <f>SUBTOTAL(101,quick20[tempo (ms)])</f>
        <v>2.0969100000000003</v>
      </c>
      <c r="T31" s="20">
        <f>SUBTOTAL(101,quick50[tempo (ms)])</f>
        <v>5.7232199999999995</v>
      </c>
      <c r="U31" s="22">
        <f>SUBTOTAL(101,quick100[tempo (ms)])</f>
        <v>12.92699</v>
      </c>
    </row>
  </sheetData>
  <mergeCells count="6">
    <mergeCell ref="N26:N31"/>
    <mergeCell ref="P2:U2"/>
    <mergeCell ref="N4:N9"/>
    <mergeCell ref="N17:N22"/>
    <mergeCell ref="P15:U15"/>
    <mergeCell ref="P24:U2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7030A0"/>
  </sheetPr>
  <dimension ref="A1:Q51"/>
  <sheetViews>
    <sheetView tabSelected="1" topLeftCell="A22" zoomScale="115" zoomScaleNormal="115" workbookViewId="0">
      <selection activeCell="J30" sqref="J30"/>
    </sheetView>
  </sheetViews>
  <sheetFormatPr defaultRowHeight="15" x14ac:dyDescent="0.25"/>
  <cols>
    <col min="1" max="1" width="11" customWidth="1"/>
    <col min="2" max="2" width="15.140625" customWidth="1"/>
    <col min="3" max="3" width="10.5703125" customWidth="1"/>
    <col min="4" max="4" width="11.7109375" customWidth="1"/>
    <col min="5" max="6" width="14.85546875" customWidth="1"/>
    <col min="7" max="7" width="15.5703125" customWidth="1"/>
    <col min="8" max="8" width="14.7109375" customWidth="1"/>
    <col min="9" max="9" width="14.85546875" customWidth="1"/>
    <col min="11" max="11" width="10.140625" bestFit="1" customWidth="1"/>
    <col min="12" max="12" width="18.5703125" customWidth="1"/>
    <col min="13" max="14" width="12" bestFit="1" customWidth="1"/>
    <col min="15" max="15" width="14.28515625" customWidth="1"/>
    <col min="16" max="16" width="15.5703125" customWidth="1"/>
  </cols>
  <sheetData>
    <row r="1" spans="2:17" ht="15.75" thickBot="1" x14ac:dyDescent="0.3">
      <c r="D1" s="13"/>
      <c r="E1" s="13"/>
      <c r="F1" s="13"/>
      <c r="G1" s="13"/>
      <c r="H1" s="13"/>
      <c r="I1" s="13"/>
    </row>
    <row r="2" spans="2:17" ht="15.75" customHeight="1" thickBot="1" x14ac:dyDescent="0.3">
      <c r="C2" s="14"/>
      <c r="D2" s="30" t="s">
        <v>14</v>
      </c>
      <c r="E2" s="30"/>
      <c r="F2" s="30"/>
      <c r="G2" s="30"/>
      <c r="H2" s="30"/>
      <c r="I2" s="31"/>
    </row>
    <row r="3" spans="2:17" ht="15.75" thickBot="1" x14ac:dyDescent="0.3">
      <c r="B3" s="11" t="s">
        <v>13</v>
      </c>
      <c r="C3" s="12" t="s">
        <v>0</v>
      </c>
      <c r="D3" s="8">
        <v>1000</v>
      </c>
      <c r="E3" s="7">
        <v>5000</v>
      </c>
      <c r="F3" s="7">
        <v>10000</v>
      </c>
      <c r="G3" s="7">
        <v>20000</v>
      </c>
      <c r="H3" s="7">
        <v>50000</v>
      </c>
      <c r="I3" s="15">
        <v>100000</v>
      </c>
    </row>
    <row r="4" spans="2:17" x14ac:dyDescent="0.25">
      <c r="B4" s="27" t="s">
        <v>15</v>
      </c>
      <c r="C4" s="9" t="s">
        <v>1</v>
      </c>
      <c r="D4" s="16">
        <f>SUBTOTAL(101,bubble1_[comparações])</f>
        <v>217119.5</v>
      </c>
      <c r="E4" s="16">
        <f>SUBTOTAL(101,bubble5_[comparações])</f>
        <v>5643302.4000000004</v>
      </c>
      <c r="F4" s="16">
        <f>SUBTOTAL(101,bubble10_[comparações])</f>
        <v>22542997.399999999</v>
      </c>
      <c r="G4" s="16">
        <f>SUBTOTAL(101,bubble20_[comparações])</f>
        <v>90171139.099999994</v>
      </c>
      <c r="H4" s="16">
        <f>SUBTOTAL(101,bubble50_[comparações])</f>
        <v>561640393.39999998</v>
      </c>
      <c r="I4" s="17">
        <f>SUBTOTAL(101,bubble100_[comparações])</f>
        <v>2249324511.6999998</v>
      </c>
      <c r="K4" s="50">
        <f xml:space="preserve"> D3 - (D3^2)/LOG(D3,2)</f>
        <v>-99343.331887993729</v>
      </c>
      <c r="L4" s="50">
        <f>E3^2 + (E3^2 + E3)/2 + E3 + 1</f>
        <v>37507501</v>
      </c>
      <c r="M4" s="50">
        <f t="shared" ref="L4:P4" si="0">F3^2 + (F3^2 + F3)/2 + F3 + 1</f>
        <v>150015001</v>
      </c>
      <c r="N4" s="50">
        <f t="shared" si="0"/>
        <v>600030001</v>
      </c>
      <c r="O4" s="50">
        <f t="shared" si="0"/>
        <v>3750075001</v>
      </c>
      <c r="P4" s="50">
        <f t="shared" si="0"/>
        <v>15000150001</v>
      </c>
      <c r="Q4" s="49"/>
    </row>
    <row r="5" spans="2:17" x14ac:dyDescent="0.25">
      <c r="B5" s="28"/>
      <c r="C5" s="6" t="s">
        <v>2</v>
      </c>
      <c r="D5" s="18">
        <f>SUBTOTAL(101,selection1[comparações])</f>
        <v>1934.8</v>
      </c>
      <c r="E5" s="18">
        <f>SUBTOTAL(101,selection5[comparações])</f>
        <v>9567</v>
      </c>
      <c r="F5" s="18">
        <f>SUBTOTAL(101,selection10[comparações])</f>
        <v>19382</v>
      </c>
      <c r="G5" s="18">
        <f>SUBTOTAL(101,selection20[comparações])</f>
        <v>38592.300000000003</v>
      </c>
      <c r="H5" s="18">
        <f>SUBTOTAL(101,selection50[comparações])</f>
        <v>96472.5</v>
      </c>
      <c r="I5" s="19">
        <f>SUBTOTAL(101,selection100[comparações])</f>
        <v>192833.9</v>
      </c>
      <c r="K5" t="s">
        <v>39</v>
      </c>
    </row>
    <row r="6" spans="2:17" x14ac:dyDescent="0.25">
      <c r="B6" s="28"/>
      <c r="C6" s="6" t="s">
        <v>3</v>
      </c>
      <c r="D6" s="18">
        <f>SUBTOTAL(101,insertion1[comparações])</f>
        <v>220236.79999999999</v>
      </c>
      <c r="E6" s="18">
        <f>SUBTOTAL(101,insertion5[comparações])</f>
        <v>5599468.7999999998</v>
      </c>
      <c r="F6" s="18">
        <f>SUBTOTAL(101,insertion10[comparações])</f>
        <v>22490222.5</v>
      </c>
      <c r="G6" s="18">
        <f>SUBTOTAL(101,insertion20[comparações])</f>
        <v>90025660.200000003</v>
      </c>
      <c r="H6" s="18">
        <f>SUBTOTAL(101,insertion50[comparações])</f>
        <v>561655771.89999998</v>
      </c>
      <c r="I6" s="19">
        <f>SUBTOTAL(101,insertion100[comparações])</f>
        <v>2251491017.6999998</v>
      </c>
    </row>
    <row r="7" spans="2:17" x14ac:dyDescent="0.25">
      <c r="B7" s="28"/>
      <c r="C7" s="6" t="s">
        <v>4</v>
      </c>
      <c r="D7" s="18">
        <f>SUBTOTAL(101,heap1[comparações])</f>
        <v>10025.6</v>
      </c>
      <c r="E7" s="18">
        <f>SUBTOTAL(101,heap5[comparações])</f>
        <v>64580.6</v>
      </c>
      <c r="F7" s="18">
        <f>SUBTOTAL(101,heap10[comparações])</f>
        <v>142255</v>
      </c>
      <c r="G7" s="18">
        <f>SUBTOTAL(101,heap20[comparações])</f>
        <v>309796.2</v>
      </c>
      <c r="H7" s="18">
        <f>SUBTOTAL(101,heap50[comparações])</f>
        <v>856878</v>
      </c>
      <c r="I7" s="19">
        <f>SUBTOTAL(101,heap100[comparações])</f>
        <v>1841105.9</v>
      </c>
    </row>
    <row r="8" spans="2:17" x14ac:dyDescent="0.25">
      <c r="B8" s="28"/>
      <c r="C8" s="6" t="s">
        <v>5</v>
      </c>
      <c r="D8" s="18">
        <f>SUBTOTAL(101,merge1[comparações])</f>
        <v>8503.5</v>
      </c>
      <c r="E8" s="18">
        <f>SUBTOTAL(101,merge5[comparações])</f>
        <v>53553.1</v>
      </c>
      <c r="F8" s="18">
        <f>SUBTOTAL(101,merge10[comparações])</f>
        <v>116473.5</v>
      </c>
      <c r="G8" s="18">
        <f>SUBTOTAL(101,merge20[comparações])</f>
        <v>252198.5</v>
      </c>
      <c r="H8" s="18">
        <f>SUBTOTAL(101,merge50[comparações])</f>
        <v>692427.4</v>
      </c>
      <c r="I8" s="19">
        <f>SUBTOTAL(101,merge100[comparações])</f>
        <v>1479957.7</v>
      </c>
      <c r="L8" t="s">
        <v>40</v>
      </c>
    </row>
    <row r="9" spans="2:17" ht="15.75" thickBot="1" x14ac:dyDescent="0.3">
      <c r="B9" s="29"/>
      <c r="C9" s="10" t="s">
        <v>6</v>
      </c>
      <c r="D9" s="20">
        <f>SUBTOTAL(101,quick1[comparações])</f>
        <v>2944.8</v>
      </c>
      <c r="E9" s="18">
        <f>SUBTOTAL(101,quick5[comparações])</f>
        <v>12549.7</v>
      </c>
      <c r="F9" s="18">
        <f>SUBTOTAL(101,quick10[comparações])</f>
        <v>28452.799999999999</v>
      </c>
      <c r="G9" s="18">
        <f>SUBTOTAL(101,quick20[comparações])</f>
        <v>51680.7</v>
      </c>
      <c r="H9" s="18">
        <f>SUBTOTAL(101,quick50[comparações])</f>
        <v>156496.29999999999</v>
      </c>
      <c r="I9" s="19">
        <f>SUBTOTAL(101,quick100[comparações])</f>
        <v>251642.2</v>
      </c>
      <c r="L9" s="4">
        <f xml:space="preserve"> D3 - K4</f>
        <v>100343.33188799373</v>
      </c>
    </row>
    <row r="10" spans="2:17" x14ac:dyDescent="0.25">
      <c r="B10" s="27" t="s">
        <v>16</v>
      </c>
      <c r="C10" s="9" t="s">
        <v>1</v>
      </c>
      <c r="D10" s="16">
        <f>SUBTOTAL(101,bubble1_[trocas])</f>
        <v>217119.5</v>
      </c>
      <c r="E10" s="16">
        <f>SUBTOTAL(101,bubble5_[trocas])</f>
        <v>5643302.4000000004</v>
      </c>
      <c r="F10" s="16">
        <f>SUBTOTAL(101,bubble10_[trocas])</f>
        <v>22542997.399999999</v>
      </c>
      <c r="G10" s="16">
        <f>SUBTOTAL(101,bubble20_[trocas])</f>
        <v>90171139.099999994</v>
      </c>
      <c r="H10" s="16">
        <f>SUBTOTAL(101,bubble50_[trocas])</f>
        <v>561640393.39999998</v>
      </c>
      <c r="I10" s="17">
        <f>SUBTOTAL(101,bubble100_[trocas])</f>
        <v>2249324511.6999998</v>
      </c>
    </row>
    <row r="11" spans="2:17" ht="11.25" customHeight="1" x14ac:dyDescent="0.25">
      <c r="B11" s="28"/>
      <c r="C11" s="6" t="s">
        <v>2</v>
      </c>
      <c r="D11" s="18">
        <f>SUBTOTAL(101,selection1[trocas])</f>
        <v>891.6</v>
      </c>
      <c r="E11" s="18">
        <f>SUBTOTAL(101,selection5[trocas])</f>
        <v>4513</v>
      </c>
      <c r="F11" s="18">
        <f>SUBTOTAL(101,selection10[trocas])</f>
        <v>9023.5</v>
      </c>
      <c r="G11" s="18">
        <f>SUBTOTAL(101,selection20[trocas])</f>
        <v>17978.400000000001</v>
      </c>
      <c r="H11" s="18">
        <f>SUBTOTAL(101,selection50[trocas])</f>
        <v>45021.8</v>
      </c>
      <c r="I11" s="21">
        <f>SUBTOTAL(101,selection100[trocas])</f>
        <v>89999</v>
      </c>
    </row>
    <row r="12" spans="2:17" x14ac:dyDescent="0.25">
      <c r="B12" s="28"/>
      <c r="C12" s="6" t="s">
        <v>3</v>
      </c>
      <c r="D12" s="18">
        <f>SUBTOTAL(101,insertion1[trocas])</f>
        <v>220236.79999999999</v>
      </c>
      <c r="E12" s="18">
        <f>SUBTOTAL(101,insertion5[trocas])</f>
        <v>5599468.7999999998</v>
      </c>
      <c r="F12" s="18">
        <f>SUBTOTAL(101,insertion100[trocas])</f>
        <v>2251491017.6999998</v>
      </c>
      <c r="G12" s="18">
        <f>SUBTOTAL(101,insertion20[trocas])</f>
        <v>90025660.200000003</v>
      </c>
      <c r="H12" s="18">
        <f>SUBTOTAL(101,insertion50[trocas])</f>
        <v>561655771.89999998</v>
      </c>
      <c r="I12" s="21">
        <f>SUBTOTAL(101,insertion100[trocas])</f>
        <v>2251491017.6999998</v>
      </c>
    </row>
    <row r="13" spans="2:17" x14ac:dyDescent="0.25">
      <c r="B13" s="28"/>
      <c r="C13" s="6" t="s">
        <v>4</v>
      </c>
      <c r="D13" s="18">
        <f>SUBTOTAL(101,heap1[trocas])</f>
        <v>8294.5</v>
      </c>
      <c r="E13" s="18">
        <f>SUBTOTAL(101,heap5[trocas])</f>
        <v>51817</v>
      </c>
      <c r="F13" s="18">
        <f>SUBTOTAL(101,heap10[trocas])</f>
        <v>112662</v>
      </c>
      <c r="G13" s="18">
        <f>SUBTOTAL(101,heap20[trocas])</f>
        <v>243278.6</v>
      </c>
      <c r="H13" s="18">
        <f>SUBTOTAL(101,heap50[trocas])</f>
        <v>665041</v>
      </c>
      <c r="I13" s="21">
        <f>SUBTOTAL(101,heap100[trocas])</f>
        <v>1419096.2</v>
      </c>
    </row>
    <row r="14" spans="2:17" x14ac:dyDescent="0.25">
      <c r="B14" s="28"/>
      <c r="C14" s="6" t="s">
        <v>5</v>
      </c>
      <c r="D14" s="18">
        <f>SUBTOTAL(101,merge1[trocas])</f>
        <v>8503.5</v>
      </c>
      <c r="E14" s="18">
        <f>SUBTOTAL(101,merge5[trocas])</f>
        <v>53553.1</v>
      </c>
      <c r="F14" s="18">
        <f>SUBTOTAL(101,merge10[trocas])</f>
        <v>116473.5</v>
      </c>
      <c r="G14" s="18">
        <f>SUBTOTAL(101,merge20[trocas])</f>
        <v>252198.5</v>
      </c>
      <c r="H14" s="18">
        <f>SUBTOTAL(101,merge50[trocas])</f>
        <v>692427.4</v>
      </c>
      <c r="I14" s="21">
        <f>SUBTOTAL(101,merge100[trocas])</f>
        <v>1479957.7</v>
      </c>
    </row>
    <row r="15" spans="2:17" ht="15.75" thickBot="1" x14ac:dyDescent="0.3">
      <c r="B15" s="29"/>
      <c r="C15" s="10" t="s">
        <v>6</v>
      </c>
      <c r="D15" s="18">
        <f>SUBTOTAL(101,quick1[trocas])</f>
        <v>3826.4</v>
      </c>
      <c r="E15" s="18">
        <f>SUBTOTAL(101,quick5[trocas])</f>
        <v>24955.3</v>
      </c>
      <c r="F15" s="18">
        <f>SUBTOTAL(101,quick10[trocas])</f>
        <v>54714.3</v>
      </c>
      <c r="G15" s="18">
        <f>SUBTOTAL(101,quick20[trocas])</f>
        <v>119600.2</v>
      </c>
      <c r="H15" s="18">
        <f>SUBTOTAL(101,quick50[trocas])</f>
        <v>330773.5</v>
      </c>
      <c r="I15" s="21">
        <f>SUBTOTAL(101,quick100[trocas])</f>
        <v>712750.4</v>
      </c>
    </row>
    <row r="16" spans="2:17" x14ac:dyDescent="0.25">
      <c r="B16" s="27" t="s">
        <v>26</v>
      </c>
      <c r="C16" s="9" t="s">
        <v>1</v>
      </c>
      <c r="D16" s="16">
        <f>SUBTOTAL(101,bubble1_[tempo (ms)])</f>
        <v>4.6757</v>
      </c>
      <c r="E16" s="16">
        <f>SUBTOTAL(101,bubble5_[tempo (ms)])</f>
        <v>121.74323999999999</v>
      </c>
      <c r="F16" s="16">
        <f>SUBTOTAL(101,bubble10_[tempo (ms)])</f>
        <v>489.18585000000002</v>
      </c>
      <c r="G16" s="16">
        <f>SUBTOTAL(101,bubble20_[tempo (ms)])</f>
        <v>1869.3245099999997</v>
      </c>
      <c r="H16" s="16">
        <f>SUBTOTAL(101,bubble50_[tempo (ms)])</f>
        <v>11710.047569999999</v>
      </c>
      <c r="I16" s="17">
        <f>SUBTOTAL(101,bubble100_[tempo (ms)])</f>
        <v>46621.516409999997</v>
      </c>
    </row>
    <row r="17" spans="1:9" x14ac:dyDescent="0.25">
      <c r="B17" s="28"/>
      <c r="C17" s="6" t="s">
        <v>2</v>
      </c>
      <c r="D17" s="18">
        <f>SUBTOTAL(101,selection1[tempo (ms)])</f>
        <v>1.22496</v>
      </c>
      <c r="E17" s="18">
        <f>SUBTOTAL(101,selection5[tempo (ms)])</f>
        <v>29.090519999999991</v>
      </c>
      <c r="F17" s="18">
        <f>SUBTOTAL(101,selection10[tempo (ms)])</f>
        <v>116.29857999999999</v>
      </c>
      <c r="G17" s="18">
        <f>SUBTOTAL(101,selection20[tempo (ms)])</f>
        <v>430.28166999999996</v>
      </c>
      <c r="H17" s="18">
        <f>SUBTOTAL(101,selection50[tempo (ms)])</f>
        <v>2684.2264700000001</v>
      </c>
      <c r="I17" s="21">
        <f>SUBTOTAL(101,selection100[tempo (ms)])</f>
        <v>10634.502340000001</v>
      </c>
    </row>
    <row r="18" spans="1:9" x14ac:dyDescent="0.25">
      <c r="B18" s="28"/>
      <c r="C18" s="6" t="s">
        <v>3</v>
      </c>
      <c r="D18" s="18">
        <f>SUBTOTAL(101,insertion1[tempo (ms)])</f>
        <v>2.2249699999999999</v>
      </c>
      <c r="E18" s="18">
        <f>SUBTOTAL(101,insertion5[tempo (ms)])</f>
        <v>56.5687</v>
      </c>
      <c r="F18" s="18">
        <f>SUBTOTAL(101,insertion10[tempo (ms)])</f>
        <v>221.58328999999998</v>
      </c>
      <c r="G18" s="18">
        <f>SUBTOTAL(101,insertion20[tempo (ms)])</f>
        <v>814.79431</v>
      </c>
      <c r="H18" s="18">
        <f>SUBTOTAL(101,insertion50[tempo (ms)])</f>
        <v>5044.3493499999995</v>
      </c>
      <c r="I18" s="21">
        <f>SUBTOTAL(101,insertion100[tempo (ms)])</f>
        <v>20429.910169999996</v>
      </c>
    </row>
    <row r="19" spans="1:9" x14ac:dyDescent="0.25">
      <c r="B19" s="28"/>
      <c r="C19" s="6" t="s">
        <v>4</v>
      </c>
      <c r="D19" s="18">
        <f>SUBTOTAL(101,heap1[tempo (ms)])</f>
        <v>0.23719999999999999</v>
      </c>
      <c r="E19" s="18">
        <f>SUBTOTAL(101,heap5[tempo (ms)])</f>
        <v>1.3660000000000001</v>
      </c>
      <c r="F19" s="18">
        <f>SUBTOTAL(101,heap10[tempo (ms)])</f>
        <v>3.1580599999999999</v>
      </c>
      <c r="G19" s="18">
        <f>SUBTOTAL(101,heap20[tempo (ms)])</f>
        <v>6.4082499999999998</v>
      </c>
      <c r="H19" s="18">
        <f>SUBTOTAL(101,heap50[tempo (ms)])</f>
        <v>17.996259999999999</v>
      </c>
      <c r="I19" s="21">
        <f>SUBTOTAL(101,heap100[tempo (ms)])</f>
        <v>36.873100000000001</v>
      </c>
    </row>
    <row r="20" spans="1:9" x14ac:dyDescent="0.25">
      <c r="B20" s="28"/>
      <c r="C20" s="6" t="s">
        <v>5</v>
      </c>
      <c r="D20" s="18">
        <f>SUBTOTAL(101,merge1[tempo (ms)])</f>
        <v>0.17358000000000001</v>
      </c>
      <c r="E20" s="18">
        <f>SUBTOTAL(101,merge5[tempo (ms)])</f>
        <v>1.0823800000000001</v>
      </c>
      <c r="F20" s="18">
        <f>SUBTOTAL(101,merge10[tempo (ms)])</f>
        <v>2.3306800000000001</v>
      </c>
      <c r="G20" s="18">
        <f>SUBTOTAL(101,merge20[tempo (ms)])</f>
        <v>4.6753799999999996</v>
      </c>
      <c r="H20" s="18">
        <f>SUBTOTAL(101,merge50[tempo (ms)])</f>
        <v>12.256310000000003</v>
      </c>
      <c r="I20" s="21">
        <f>SUBTOTAL(101,merge100[tempo (ms)])</f>
        <v>25.664929999999998</v>
      </c>
    </row>
    <row r="21" spans="1:9" ht="15.75" thickBot="1" x14ac:dyDescent="0.3">
      <c r="B21" s="29"/>
      <c r="C21" s="10" t="s">
        <v>6</v>
      </c>
      <c r="D21" s="20">
        <f>SUBTOTAL(101,quick1[tempo (ms)])</f>
        <v>9.4659999999999994E-2</v>
      </c>
      <c r="E21" s="20">
        <f>SUBTOTAL(101,quick5[tempo (ms)])</f>
        <v>0.51195000000000013</v>
      </c>
      <c r="F21" s="20">
        <f>SUBTOTAL(101,quick10[tempo (ms)])</f>
        <v>1.1559699999999999</v>
      </c>
      <c r="G21" s="20">
        <f>SUBTOTAL(101,quick20[tempo (ms)])</f>
        <v>2.0969100000000003</v>
      </c>
      <c r="H21" s="20">
        <f>SUBTOTAL(101,quick50[tempo (ms)])</f>
        <v>5.7232199999999995</v>
      </c>
      <c r="I21" s="22">
        <f>SUBTOTAL(101,quick100[tempo (ms)])</f>
        <v>12.92699</v>
      </c>
    </row>
    <row r="24" spans="1:9" x14ac:dyDescent="0.25">
      <c r="A24" s="40" t="s">
        <v>28</v>
      </c>
      <c r="B24" s="39" t="s">
        <v>27</v>
      </c>
    </row>
    <row r="25" spans="1:9" x14ac:dyDescent="0.25">
      <c r="A25" s="40" t="s">
        <v>29</v>
      </c>
      <c r="C25" s="45" t="s">
        <v>33</v>
      </c>
      <c r="D25" s="46"/>
    </row>
    <row r="26" spans="1:9" x14ac:dyDescent="0.25">
      <c r="A26" s="41"/>
      <c r="B26" s="44" t="s">
        <v>34</v>
      </c>
      <c r="C26" s="47" t="s">
        <v>31</v>
      </c>
      <c r="D26" s="44" t="s">
        <v>32</v>
      </c>
    </row>
    <row r="27" spans="1:9" x14ac:dyDescent="0.25">
      <c r="A27" s="41"/>
      <c r="B27" s="43" t="s">
        <v>1</v>
      </c>
      <c r="C27" s="48" t="s">
        <v>35</v>
      </c>
      <c r="D27" s="42" t="s">
        <v>30</v>
      </c>
    </row>
    <row r="28" spans="1:9" x14ac:dyDescent="0.25">
      <c r="A28" s="41"/>
      <c r="B28" s="43" t="s">
        <v>2</v>
      </c>
      <c r="C28" s="48" t="s">
        <v>35</v>
      </c>
      <c r="D28" s="42" t="s">
        <v>30</v>
      </c>
    </row>
    <row r="29" spans="1:9" x14ac:dyDescent="0.25">
      <c r="A29" s="41"/>
      <c r="B29" s="43" t="s">
        <v>3</v>
      </c>
      <c r="C29" s="48" t="s">
        <v>35</v>
      </c>
      <c r="D29" s="42" t="s">
        <v>30</v>
      </c>
    </row>
    <row r="30" spans="1:9" x14ac:dyDescent="0.25">
      <c r="A30" s="41"/>
      <c r="B30" s="43" t="s">
        <v>4</v>
      </c>
      <c r="C30" s="48" t="s">
        <v>35</v>
      </c>
      <c r="D30" s="42" t="s">
        <v>30</v>
      </c>
    </row>
    <row r="31" spans="1:9" x14ac:dyDescent="0.25">
      <c r="A31" s="41"/>
      <c r="B31" s="43" t="s">
        <v>5</v>
      </c>
      <c r="C31" s="48" t="s">
        <v>35</v>
      </c>
      <c r="D31" s="42" t="s">
        <v>30</v>
      </c>
    </row>
    <row r="32" spans="1:9" x14ac:dyDescent="0.25">
      <c r="A32" s="41"/>
      <c r="B32" s="43" t="s">
        <v>6</v>
      </c>
      <c r="C32" s="48" t="s">
        <v>35</v>
      </c>
      <c r="D32" s="42" t="s">
        <v>30</v>
      </c>
    </row>
    <row r="35" spans="1:3" x14ac:dyDescent="0.25">
      <c r="A35" s="40" t="s">
        <v>37</v>
      </c>
      <c r="B35" s="39" t="s">
        <v>36</v>
      </c>
    </row>
    <row r="36" spans="1:3" x14ac:dyDescent="0.25">
      <c r="A36" s="40" t="s">
        <v>29</v>
      </c>
      <c r="B36" s="44" t="s">
        <v>34</v>
      </c>
      <c r="C36" s="47" t="s">
        <v>38</v>
      </c>
    </row>
    <row r="37" spans="1:3" x14ac:dyDescent="0.25">
      <c r="B37" s="43" t="s">
        <v>1</v>
      </c>
      <c r="C37" s="48"/>
    </row>
    <row r="38" spans="1:3" x14ac:dyDescent="0.25">
      <c r="B38" s="43" t="s">
        <v>2</v>
      </c>
      <c r="C38" s="48"/>
    </row>
    <row r="39" spans="1:3" x14ac:dyDescent="0.25">
      <c r="B39" s="43" t="s">
        <v>3</v>
      </c>
      <c r="C39" s="48"/>
    </row>
    <row r="40" spans="1:3" x14ac:dyDescent="0.25">
      <c r="B40" s="43" t="s">
        <v>4</v>
      </c>
      <c r="C40" s="48"/>
    </row>
    <row r="41" spans="1:3" x14ac:dyDescent="0.25">
      <c r="B41" s="43" t="s">
        <v>5</v>
      </c>
      <c r="C41" s="48"/>
    </row>
    <row r="42" spans="1:3" x14ac:dyDescent="0.25">
      <c r="B42" s="43" t="s">
        <v>6</v>
      </c>
      <c r="C42" s="48"/>
    </row>
    <row r="44" spans="1:3" x14ac:dyDescent="0.25">
      <c r="A44" s="40" t="s">
        <v>42</v>
      </c>
      <c r="B44" s="39" t="s">
        <v>41</v>
      </c>
    </row>
    <row r="45" spans="1:3" x14ac:dyDescent="0.25">
      <c r="A45" s="40" t="s">
        <v>29</v>
      </c>
      <c r="B45" s="44" t="s">
        <v>34</v>
      </c>
      <c r="C45" s="47" t="s">
        <v>38</v>
      </c>
    </row>
    <row r="46" spans="1:3" x14ac:dyDescent="0.25">
      <c r="B46" s="43" t="s">
        <v>1</v>
      </c>
      <c r="C46" s="48"/>
    </row>
    <row r="47" spans="1:3" x14ac:dyDescent="0.25">
      <c r="B47" s="43" t="s">
        <v>2</v>
      </c>
      <c r="C47" s="48"/>
    </row>
    <row r="48" spans="1:3" x14ac:dyDescent="0.25">
      <c r="B48" s="43" t="s">
        <v>3</v>
      </c>
      <c r="C48" s="48"/>
    </row>
    <row r="49" spans="2:3" x14ac:dyDescent="0.25">
      <c r="B49" s="43" t="s">
        <v>4</v>
      </c>
      <c r="C49" s="48"/>
    </row>
    <row r="50" spans="2:3" x14ac:dyDescent="0.25">
      <c r="B50" s="43" t="s">
        <v>5</v>
      </c>
      <c r="C50" s="48"/>
    </row>
    <row r="51" spans="2:3" x14ac:dyDescent="0.25">
      <c r="B51" s="43" t="s">
        <v>6</v>
      </c>
      <c r="C51" s="48"/>
    </row>
  </sheetData>
  <mergeCells count="5">
    <mergeCell ref="D2:I2"/>
    <mergeCell ref="B4:B9"/>
    <mergeCell ref="B10:B15"/>
    <mergeCell ref="B16:B21"/>
    <mergeCell ref="C25:D25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B050"/>
  </sheetPr>
  <dimension ref="A1:F38"/>
  <sheetViews>
    <sheetView zoomScaleNormal="100" workbookViewId="0">
      <selection activeCell="E2" sqref="E2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35" t="s">
        <v>17</v>
      </c>
      <c r="B1" s="35"/>
      <c r="C1" s="35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SUBTOTAL(101,bubble1_[comparações])</f>
        <v>217119.5</v>
      </c>
      <c r="E2" s="5">
        <f>SUBTOTAL(101,bubble1_[trocas])</f>
        <v>217119.5</v>
      </c>
      <c r="F2" s="5">
        <f>SUBTOTAL(101,bubble1_[tempo (ms)])</f>
        <v>4.6757</v>
      </c>
    </row>
    <row r="3" spans="1:6" x14ac:dyDescent="0.25">
      <c r="A3" s="2">
        <v>216528</v>
      </c>
      <c r="B3" s="2">
        <v>216528</v>
      </c>
      <c r="C3" s="3">
        <v>4.4339000000000004</v>
      </c>
      <c r="D3" s="4"/>
      <c r="E3" s="4"/>
      <c r="F3" s="4"/>
    </row>
    <row r="4" spans="1:6" x14ac:dyDescent="0.25">
      <c r="A4" s="2">
        <v>216528</v>
      </c>
      <c r="B4" s="2">
        <v>216528</v>
      </c>
      <c r="C4" s="3">
        <v>4.4119000000000002</v>
      </c>
      <c r="D4" s="4"/>
      <c r="E4" s="4"/>
      <c r="F4" s="4"/>
    </row>
    <row r="5" spans="1:6" x14ac:dyDescent="0.25">
      <c r="A5" s="2">
        <v>216528</v>
      </c>
      <c r="B5" s="2">
        <v>216528</v>
      </c>
      <c r="C5" s="3">
        <v>4.3560999999999996</v>
      </c>
      <c r="D5" s="4"/>
      <c r="E5" s="4"/>
      <c r="F5" s="4"/>
    </row>
    <row r="6" spans="1:6" x14ac:dyDescent="0.25">
      <c r="A6" s="2">
        <v>216528</v>
      </c>
      <c r="B6" s="2">
        <v>216528</v>
      </c>
      <c r="C6" s="3">
        <v>5.8501000000000003</v>
      </c>
      <c r="D6" s="4"/>
      <c r="E6" s="4"/>
      <c r="F6" s="4"/>
    </row>
    <row r="7" spans="1:6" x14ac:dyDescent="0.25">
      <c r="A7" s="2">
        <v>216528</v>
      </c>
      <c r="B7" s="2">
        <v>216528</v>
      </c>
      <c r="C7" s="3">
        <v>4.3849999999999998</v>
      </c>
      <c r="D7" s="4"/>
      <c r="E7" s="4"/>
      <c r="F7" s="4"/>
    </row>
    <row r="8" spans="1:6" x14ac:dyDescent="0.25">
      <c r="A8" s="2">
        <v>217711</v>
      </c>
      <c r="B8" s="2">
        <v>217711</v>
      </c>
      <c r="C8" s="3">
        <v>4.3689999999999998</v>
      </c>
      <c r="D8" s="4"/>
      <c r="E8" s="4"/>
      <c r="F8" s="4"/>
    </row>
    <row r="9" spans="1:6" x14ac:dyDescent="0.25">
      <c r="A9" s="2">
        <v>217711</v>
      </c>
      <c r="B9" s="2">
        <v>217711</v>
      </c>
      <c r="C9" s="3">
        <v>4.3361000000000001</v>
      </c>
      <c r="D9" s="4"/>
      <c r="E9" s="4"/>
      <c r="F9" s="4"/>
    </row>
    <row r="10" spans="1:6" x14ac:dyDescent="0.25">
      <c r="A10" s="2">
        <v>217711</v>
      </c>
      <c r="B10" s="2">
        <v>217711</v>
      </c>
      <c r="C10" s="3">
        <v>5.7750000000000004</v>
      </c>
      <c r="D10" s="4"/>
      <c r="E10" s="4"/>
      <c r="F10" s="4"/>
    </row>
    <row r="11" spans="1:6" x14ac:dyDescent="0.25">
      <c r="A11" s="2">
        <v>217711</v>
      </c>
      <c r="B11" s="2">
        <v>217711</v>
      </c>
      <c r="C11" s="3">
        <v>4.2739000000000003</v>
      </c>
      <c r="D11" s="4"/>
      <c r="E11" s="4"/>
      <c r="F11" s="4"/>
    </row>
    <row r="12" spans="1:6" x14ac:dyDescent="0.25">
      <c r="A12" s="2">
        <v>217711</v>
      </c>
      <c r="B12" s="2">
        <v>217711</v>
      </c>
      <c r="C12" s="3">
        <v>4.5659999999999998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5" t="s">
        <v>20</v>
      </c>
      <c r="B14" s="35"/>
      <c r="C14" s="35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SUBTOTAL(101,heap1[comparações])</f>
        <v>10025.6</v>
      </c>
      <c r="E15" s="5">
        <f>SUBTOTAL(101,heap1[trocas])</f>
        <v>8294.5</v>
      </c>
      <c r="F15" s="5">
        <f>SUBTOTAL(101,heap1[tempo (ms)])</f>
        <v>0.23719999999999999</v>
      </c>
    </row>
    <row r="16" spans="1:6" x14ac:dyDescent="0.25">
      <c r="A16" s="2">
        <v>9992</v>
      </c>
      <c r="B16" s="2">
        <v>8252</v>
      </c>
      <c r="C16" s="3">
        <v>0.21099999999999999</v>
      </c>
      <c r="D16" s="4"/>
      <c r="E16" s="4"/>
      <c r="F16" s="4"/>
    </row>
    <row r="17" spans="1:6" x14ac:dyDescent="0.25">
      <c r="A17" s="2">
        <v>10004</v>
      </c>
      <c r="B17" s="2">
        <v>8285</v>
      </c>
      <c r="C17" s="3">
        <v>0.25890000000000002</v>
      </c>
      <c r="D17" s="4"/>
      <c r="E17" s="4"/>
      <c r="F17" s="4"/>
    </row>
    <row r="18" spans="1:6" x14ac:dyDescent="0.25">
      <c r="A18" s="2">
        <v>10004</v>
      </c>
      <c r="B18" s="2">
        <v>8285</v>
      </c>
      <c r="C18" s="3">
        <v>0.26200000000000001</v>
      </c>
      <c r="D18" s="4"/>
      <c r="E18" s="4"/>
      <c r="F18" s="4"/>
    </row>
    <row r="19" spans="1:6" x14ac:dyDescent="0.25">
      <c r="A19" s="2">
        <v>10004</v>
      </c>
      <c r="B19" s="2">
        <v>8285</v>
      </c>
      <c r="C19" s="3">
        <v>0.22289999999999999</v>
      </c>
      <c r="D19" s="4"/>
      <c r="E19" s="4"/>
      <c r="F19" s="4"/>
    </row>
    <row r="20" spans="1:6" x14ac:dyDescent="0.25">
      <c r="A20" s="2">
        <v>10004</v>
      </c>
      <c r="B20" s="2">
        <v>8285</v>
      </c>
      <c r="C20" s="3">
        <v>0.22320000000000001</v>
      </c>
      <c r="D20" s="4"/>
      <c r="E20" s="4"/>
      <c r="F20" s="4"/>
    </row>
    <row r="21" spans="1:6" x14ac:dyDescent="0.25">
      <c r="A21" s="2">
        <v>10004</v>
      </c>
      <c r="B21" s="2">
        <v>8285</v>
      </c>
      <c r="C21" s="3">
        <v>0.2258</v>
      </c>
      <c r="D21" s="4"/>
      <c r="E21" s="4"/>
      <c r="F21" s="4"/>
    </row>
    <row r="22" spans="1:6" x14ac:dyDescent="0.25">
      <c r="A22" s="2">
        <v>10004</v>
      </c>
      <c r="B22" s="2">
        <v>8285</v>
      </c>
      <c r="C22" s="3">
        <v>0.23100000000000001</v>
      </c>
      <c r="D22" s="4"/>
      <c r="E22" s="4"/>
      <c r="F22" s="4"/>
    </row>
    <row r="23" spans="1:6" x14ac:dyDescent="0.25">
      <c r="A23" s="2">
        <v>10004</v>
      </c>
      <c r="B23" s="2">
        <v>8285</v>
      </c>
      <c r="C23" s="3">
        <v>0.2301</v>
      </c>
      <c r="D23" s="4"/>
      <c r="E23" s="4"/>
      <c r="F23" s="4"/>
    </row>
    <row r="24" spans="1:6" x14ac:dyDescent="0.25">
      <c r="A24" s="2">
        <v>10118</v>
      </c>
      <c r="B24" s="2">
        <v>8349</v>
      </c>
      <c r="C24" s="3">
        <v>0.28299999999999997</v>
      </c>
      <c r="D24" s="4"/>
      <c r="E24" s="4"/>
      <c r="F24" s="4"/>
    </row>
    <row r="25" spans="1:6" x14ac:dyDescent="0.25">
      <c r="A25" s="2">
        <v>10118</v>
      </c>
      <c r="B25" s="2">
        <v>8349</v>
      </c>
      <c r="C25" s="3">
        <v>0.22409999999999999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5" t="s">
        <v>21</v>
      </c>
      <c r="B27" s="35"/>
      <c r="C27" s="35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SUBTOTAL(101,insertion1[comparações])</f>
        <v>220236.79999999999</v>
      </c>
      <c r="E28" s="5">
        <f>SUBTOTAL(101,insertion1[trocas])</f>
        <v>220236.79999999999</v>
      </c>
      <c r="F28" s="5">
        <f>SUBTOTAL(101,insertion1[tempo (ms)])</f>
        <v>2.2249699999999999</v>
      </c>
    </row>
    <row r="29" spans="1:6" x14ac:dyDescent="0.25">
      <c r="A29" s="2">
        <v>226052</v>
      </c>
      <c r="B29" s="2">
        <v>226052</v>
      </c>
      <c r="C29" s="3">
        <v>2.0880999999999998</v>
      </c>
      <c r="D29" s="4"/>
      <c r="E29" s="4"/>
      <c r="F29" s="4"/>
    </row>
    <row r="30" spans="1:6" x14ac:dyDescent="0.25">
      <c r="A30" s="2">
        <v>226052</v>
      </c>
      <c r="B30" s="2">
        <v>226052</v>
      </c>
      <c r="C30" s="3">
        <v>2.0758999999999999</v>
      </c>
      <c r="D30" s="4"/>
      <c r="E30" s="4"/>
      <c r="F30" s="4"/>
    </row>
    <row r="31" spans="1:6" x14ac:dyDescent="0.25">
      <c r="A31" s="2">
        <v>218783</v>
      </c>
      <c r="B31" s="2">
        <v>218783</v>
      </c>
      <c r="C31" s="3">
        <v>2.8788999999999998</v>
      </c>
      <c r="D31" s="4"/>
      <c r="E31" s="4"/>
      <c r="F31" s="4"/>
    </row>
    <row r="32" spans="1:6" x14ac:dyDescent="0.25">
      <c r="A32" s="2">
        <v>218783</v>
      </c>
      <c r="B32" s="2">
        <v>218783</v>
      </c>
      <c r="C32" s="3">
        <v>2.2151000000000001</v>
      </c>
      <c r="D32" s="4"/>
      <c r="E32" s="4"/>
      <c r="F32" s="4"/>
    </row>
    <row r="33" spans="1:6" x14ac:dyDescent="0.25">
      <c r="A33" s="2">
        <v>218783</v>
      </c>
      <c r="B33" s="2">
        <v>218783</v>
      </c>
      <c r="C33" s="3">
        <v>2.0390000000000001</v>
      </c>
      <c r="D33" s="4"/>
      <c r="E33" s="4"/>
      <c r="F33" s="4"/>
    </row>
    <row r="34" spans="1:6" x14ac:dyDescent="0.25">
      <c r="A34" s="2">
        <v>218783</v>
      </c>
      <c r="B34" s="2">
        <v>218783</v>
      </c>
      <c r="C34" s="3">
        <v>2.8378999999999999</v>
      </c>
      <c r="D34" s="4"/>
      <c r="E34" s="4"/>
      <c r="F34" s="4"/>
    </row>
    <row r="35" spans="1:6" x14ac:dyDescent="0.25">
      <c r="A35" s="2">
        <v>218783</v>
      </c>
      <c r="B35" s="2">
        <v>218783</v>
      </c>
      <c r="C35" s="3">
        <v>2.0089000000000001</v>
      </c>
      <c r="D35" s="4"/>
      <c r="E35" s="4"/>
      <c r="F35" s="4"/>
    </row>
    <row r="36" spans="1:6" x14ac:dyDescent="0.25">
      <c r="A36" s="2">
        <v>218783</v>
      </c>
      <c r="B36" s="2">
        <v>218783</v>
      </c>
      <c r="C36" s="3">
        <v>2.0249000000000001</v>
      </c>
      <c r="D36" s="4"/>
      <c r="E36" s="4"/>
      <c r="F36" s="4"/>
    </row>
    <row r="37" spans="1:6" x14ac:dyDescent="0.25">
      <c r="A37" s="2">
        <v>218783</v>
      </c>
      <c r="B37" s="2">
        <v>218783</v>
      </c>
      <c r="C37" s="3">
        <v>2.0379999999999998</v>
      </c>
      <c r="D37" s="4"/>
      <c r="E37" s="4"/>
      <c r="F37" s="4"/>
    </row>
    <row r="38" spans="1:6" x14ac:dyDescent="0.25">
      <c r="A38" s="2">
        <v>218783</v>
      </c>
      <c r="B38" s="2">
        <v>218783</v>
      </c>
      <c r="C38" s="3">
        <v>2.0430000000000001</v>
      </c>
      <c r="D38" s="4"/>
      <c r="E38" s="4"/>
      <c r="F38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50"/>
  </sheetPr>
  <dimension ref="A1:F38"/>
  <sheetViews>
    <sheetView zoomScaleNormal="100" workbookViewId="0">
      <selection activeCell="C30" sqref="C30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35" t="s">
        <v>23</v>
      </c>
      <c r="B1" s="35"/>
      <c r="C1" s="35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SUBTOTAL(101,merge1[comparações])</f>
        <v>8503.5</v>
      </c>
      <c r="E2" s="5">
        <f>SUBTOTAL(101,merge1[trocas])</f>
        <v>8503.5</v>
      </c>
      <c r="F2" s="5">
        <f>SUBTOTAL(101,merge1[tempo (ms)])</f>
        <v>0.17358000000000001</v>
      </c>
    </row>
    <row r="3" spans="1:6" x14ac:dyDescent="0.25">
      <c r="A3" s="2">
        <v>8524</v>
      </c>
      <c r="B3" s="2">
        <v>8524</v>
      </c>
      <c r="C3" s="3">
        <v>0.1729</v>
      </c>
      <c r="D3" s="4"/>
      <c r="E3" s="4"/>
      <c r="F3" s="4"/>
    </row>
    <row r="4" spans="1:6" x14ac:dyDescent="0.25">
      <c r="A4" s="2">
        <v>8524</v>
      </c>
      <c r="B4" s="2">
        <v>8524</v>
      </c>
      <c r="C4" s="3">
        <v>0.16209999999999999</v>
      </c>
      <c r="D4" s="4"/>
      <c r="E4" s="4"/>
      <c r="F4" s="4"/>
    </row>
    <row r="5" spans="1:6" x14ac:dyDescent="0.25">
      <c r="A5" s="2">
        <v>8524</v>
      </c>
      <c r="B5" s="2">
        <v>8524</v>
      </c>
      <c r="C5" s="3">
        <v>0.16589999999999999</v>
      </c>
      <c r="D5" s="4"/>
      <c r="E5" s="4"/>
      <c r="F5" s="4"/>
    </row>
    <row r="6" spans="1:6" x14ac:dyDescent="0.25">
      <c r="A6" s="2">
        <v>8524</v>
      </c>
      <c r="B6" s="2">
        <v>8524</v>
      </c>
      <c r="C6" s="3">
        <v>0.18099999999999999</v>
      </c>
      <c r="D6" s="4"/>
      <c r="E6" s="4"/>
      <c r="F6" s="4"/>
    </row>
    <row r="7" spans="1:6" x14ac:dyDescent="0.25">
      <c r="A7" s="2">
        <v>8524</v>
      </c>
      <c r="B7" s="2">
        <v>8524</v>
      </c>
      <c r="C7" s="3">
        <v>0.1721</v>
      </c>
      <c r="D7" s="4"/>
      <c r="E7" s="4"/>
      <c r="F7" s="4"/>
    </row>
    <row r="8" spans="1:6" x14ac:dyDescent="0.25">
      <c r="A8" s="2">
        <v>8483</v>
      </c>
      <c r="B8" s="2">
        <v>8483</v>
      </c>
      <c r="C8" s="3">
        <v>0.15809999999999999</v>
      </c>
      <c r="D8" s="4"/>
      <c r="E8" s="4"/>
      <c r="F8" s="4"/>
    </row>
    <row r="9" spans="1:6" x14ac:dyDescent="0.25">
      <c r="A9" s="2">
        <v>8483</v>
      </c>
      <c r="B9" s="2">
        <v>8483</v>
      </c>
      <c r="C9" s="3">
        <v>0.2</v>
      </c>
      <c r="D9" s="4"/>
      <c r="E9" s="4"/>
      <c r="F9" s="4"/>
    </row>
    <row r="10" spans="1:6" x14ac:dyDescent="0.25">
      <c r="A10" s="2">
        <v>8483</v>
      </c>
      <c r="B10" s="2">
        <v>8483</v>
      </c>
      <c r="C10" s="3">
        <v>0.16089999999999999</v>
      </c>
      <c r="D10" s="4"/>
      <c r="E10" s="4"/>
      <c r="F10" s="4"/>
    </row>
    <row r="11" spans="1:6" x14ac:dyDescent="0.25">
      <c r="A11" s="2">
        <v>8483</v>
      </c>
      <c r="B11" s="2">
        <v>8483</v>
      </c>
      <c r="C11" s="3">
        <v>0.19500000000000001</v>
      </c>
      <c r="D11" s="4"/>
      <c r="E11" s="4"/>
      <c r="F11" s="4"/>
    </row>
    <row r="12" spans="1:6" x14ac:dyDescent="0.25">
      <c r="A12" s="2">
        <v>8483</v>
      </c>
      <c r="B12" s="2">
        <v>8483</v>
      </c>
      <c r="C12" s="3">
        <v>0.1678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5" t="s">
        <v>24</v>
      </c>
      <c r="B14" s="35"/>
      <c r="C14" s="35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SUBTOTAL(101,quick1[comparações])</f>
        <v>2944.8</v>
      </c>
      <c r="E15" s="5">
        <f>SUBTOTAL(101,quick1[trocas])</f>
        <v>3826.4</v>
      </c>
      <c r="F15" s="5">
        <f>SUBTOTAL(101,quick1[tempo (ms)])</f>
        <v>9.4659999999999994E-2</v>
      </c>
    </row>
    <row r="16" spans="1:6" x14ac:dyDescent="0.25">
      <c r="A16" s="2">
        <v>2649</v>
      </c>
      <c r="B16" s="2">
        <v>3851</v>
      </c>
      <c r="C16" s="3">
        <v>9.2999999999999999E-2</v>
      </c>
      <c r="D16" s="4"/>
      <c r="E16" s="4"/>
      <c r="F16" s="4"/>
    </row>
    <row r="17" spans="1:6" x14ac:dyDescent="0.25">
      <c r="A17" s="2">
        <v>3194</v>
      </c>
      <c r="B17" s="2">
        <v>3811</v>
      </c>
      <c r="C17" s="3">
        <v>9.4899999999999998E-2</v>
      </c>
      <c r="D17" s="4"/>
      <c r="E17" s="4"/>
      <c r="F17" s="4"/>
    </row>
    <row r="18" spans="1:6" x14ac:dyDescent="0.25">
      <c r="A18" s="2">
        <v>3194</v>
      </c>
      <c r="B18" s="2">
        <v>3811</v>
      </c>
      <c r="C18" s="3">
        <v>0.11210000000000001</v>
      </c>
      <c r="D18" s="4"/>
      <c r="E18" s="4"/>
      <c r="F18" s="4"/>
    </row>
    <row r="19" spans="1:6" x14ac:dyDescent="0.25">
      <c r="A19" s="2">
        <v>3194</v>
      </c>
      <c r="B19" s="2">
        <v>3811</v>
      </c>
      <c r="C19" s="3">
        <v>9.1800000000000007E-2</v>
      </c>
      <c r="D19" s="4"/>
      <c r="E19" s="4"/>
      <c r="F19" s="4"/>
    </row>
    <row r="20" spans="1:6" x14ac:dyDescent="0.25">
      <c r="A20" s="2">
        <v>3194</v>
      </c>
      <c r="B20" s="2">
        <v>3811</v>
      </c>
      <c r="C20" s="3">
        <v>0.1118</v>
      </c>
      <c r="D20" s="4"/>
      <c r="E20" s="4"/>
      <c r="F20" s="4"/>
    </row>
    <row r="21" spans="1:6" x14ac:dyDescent="0.25">
      <c r="A21" s="2">
        <v>3194</v>
      </c>
      <c r="B21" s="2">
        <v>3811</v>
      </c>
      <c r="C21" s="3">
        <v>8.8900000000000007E-2</v>
      </c>
      <c r="D21" s="4"/>
      <c r="E21" s="4"/>
      <c r="F21" s="4"/>
    </row>
    <row r="22" spans="1:6" x14ac:dyDescent="0.25">
      <c r="A22" s="2">
        <v>3194</v>
      </c>
      <c r="B22" s="2">
        <v>3811</v>
      </c>
      <c r="C22" s="3">
        <v>9.6100000000000005E-2</v>
      </c>
      <c r="D22" s="4"/>
      <c r="E22" s="4"/>
      <c r="F22" s="4"/>
    </row>
    <row r="23" spans="1:6" x14ac:dyDescent="0.25">
      <c r="A23" s="2">
        <v>2545</v>
      </c>
      <c r="B23" s="2">
        <v>3849</v>
      </c>
      <c r="C23" s="3">
        <v>8.6999999999999994E-2</v>
      </c>
      <c r="D23" s="4"/>
      <c r="E23" s="4"/>
      <c r="F23" s="4"/>
    </row>
    <row r="24" spans="1:6" x14ac:dyDescent="0.25">
      <c r="A24" s="2">
        <v>2545</v>
      </c>
      <c r="B24" s="2">
        <v>3849</v>
      </c>
      <c r="C24" s="3">
        <v>8.6099999999999996E-2</v>
      </c>
      <c r="D24" s="4"/>
      <c r="E24" s="4"/>
      <c r="F24" s="4"/>
    </row>
    <row r="25" spans="1:6" x14ac:dyDescent="0.25">
      <c r="A25" s="2">
        <v>2545</v>
      </c>
      <c r="B25" s="2">
        <v>3849</v>
      </c>
      <c r="C25" s="3">
        <v>8.4900000000000003E-2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5" t="s">
        <v>25</v>
      </c>
      <c r="B27" s="35"/>
      <c r="C27" s="35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SUBTOTAL(101,selection1[comparações])</f>
        <v>1934.8</v>
      </c>
      <c r="E28" s="5">
        <f>SUBTOTAL(101,selection1[trocas])</f>
        <v>891.6</v>
      </c>
      <c r="F28" s="5">
        <f>SUBTOTAL(101,selection1[tempo (ms)])</f>
        <v>1.22496</v>
      </c>
    </row>
    <row r="29" spans="1:6" x14ac:dyDescent="0.25">
      <c r="A29" s="2">
        <v>1867</v>
      </c>
      <c r="B29" s="2">
        <v>885</v>
      </c>
      <c r="C29" s="3">
        <v>1.4629000000000001</v>
      </c>
      <c r="D29" s="4"/>
      <c r="E29" s="4"/>
      <c r="F29" s="4"/>
    </row>
    <row r="30" spans="1:6" x14ac:dyDescent="0.25">
      <c r="A30" s="2">
        <v>1867</v>
      </c>
      <c r="B30" s="2">
        <v>885</v>
      </c>
      <c r="C30" s="3">
        <v>1.0998000000000001</v>
      </c>
      <c r="D30" s="4"/>
      <c r="E30" s="4"/>
      <c r="F30" s="4"/>
    </row>
    <row r="31" spans="1:6" x14ac:dyDescent="0.25">
      <c r="A31" s="2">
        <v>1867</v>
      </c>
      <c r="B31" s="2">
        <v>885</v>
      </c>
      <c r="C31" s="3">
        <v>1.4350000000000001</v>
      </c>
      <c r="D31" s="4"/>
      <c r="E31" s="4"/>
      <c r="F31" s="4"/>
    </row>
    <row r="32" spans="1:6" x14ac:dyDescent="0.25">
      <c r="A32" s="2">
        <v>1867</v>
      </c>
      <c r="B32" s="2">
        <v>885</v>
      </c>
      <c r="C32" s="3">
        <v>1.123</v>
      </c>
      <c r="D32" s="4"/>
      <c r="E32" s="4"/>
      <c r="F32" s="4"/>
    </row>
    <row r="33" spans="1:6" x14ac:dyDescent="0.25">
      <c r="A33" s="2">
        <v>1980</v>
      </c>
      <c r="B33" s="2">
        <v>896</v>
      </c>
      <c r="C33" s="3">
        <v>1.399</v>
      </c>
      <c r="D33" s="4"/>
      <c r="E33" s="4"/>
      <c r="F33" s="4"/>
    </row>
    <row r="34" spans="1:6" x14ac:dyDescent="0.25">
      <c r="A34" s="2">
        <v>1980</v>
      </c>
      <c r="B34" s="2">
        <v>896</v>
      </c>
      <c r="C34" s="3">
        <v>1.1890000000000001</v>
      </c>
      <c r="D34" s="4"/>
      <c r="E34" s="4"/>
      <c r="F34" s="4"/>
    </row>
    <row r="35" spans="1:6" x14ac:dyDescent="0.25">
      <c r="A35" s="2">
        <v>1980</v>
      </c>
      <c r="B35" s="2">
        <v>896</v>
      </c>
      <c r="C35" s="3">
        <v>1.117</v>
      </c>
      <c r="D35" s="4"/>
      <c r="E35" s="4"/>
      <c r="F35" s="4"/>
    </row>
    <row r="36" spans="1:6" x14ac:dyDescent="0.25">
      <c r="A36" s="2">
        <v>1980</v>
      </c>
      <c r="B36" s="2">
        <v>896</v>
      </c>
      <c r="C36" s="3">
        <v>1.147</v>
      </c>
      <c r="D36" s="4"/>
      <c r="E36" s="4"/>
      <c r="F36" s="4"/>
    </row>
    <row r="37" spans="1:6" x14ac:dyDescent="0.25">
      <c r="A37" s="2">
        <v>1980</v>
      </c>
      <c r="B37" s="2">
        <v>896</v>
      </c>
      <c r="C37" s="3">
        <v>1.1379999999999999</v>
      </c>
      <c r="D37" s="4"/>
      <c r="E37" s="4"/>
      <c r="F37" s="4"/>
    </row>
    <row r="38" spans="1:6" x14ac:dyDescent="0.25">
      <c r="A38" s="2">
        <v>1980</v>
      </c>
      <c r="B38" s="2">
        <v>896</v>
      </c>
      <c r="C38" s="3">
        <v>1.1389</v>
      </c>
      <c r="D38" s="4"/>
      <c r="E38" s="4"/>
      <c r="F38" s="4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FFFF00"/>
  </sheetPr>
  <dimension ref="A1:F39"/>
  <sheetViews>
    <sheetView zoomScaleNormal="100" workbookViewId="0">
      <selection activeCell="E2" sqref="E2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36" t="s">
        <v>17</v>
      </c>
      <c r="B1" s="36"/>
      <c r="C1" s="36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SUBTOTAL(101,bubble5_[comparações])</f>
        <v>5643302.4000000004</v>
      </c>
      <c r="E2" s="5">
        <f>SUBTOTAL(101,bubble5_[trocas])</f>
        <v>5643302.4000000004</v>
      </c>
      <c r="F2" s="5">
        <f>SUBTOTAL(101,bubble5_[tempo (ms)])</f>
        <v>121.74323999999999</v>
      </c>
    </row>
    <row r="3" spans="1:6" x14ac:dyDescent="0.25">
      <c r="A3" s="2">
        <v>5653978</v>
      </c>
      <c r="B3" s="2">
        <v>5653978</v>
      </c>
      <c r="C3" s="3">
        <v>132.31899999999999</v>
      </c>
      <c r="D3" s="4"/>
      <c r="E3" s="4"/>
      <c r="F3" s="4"/>
    </row>
    <row r="4" spans="1:6" x14ac:dyDescent="0.25">
      <c r="A4" s="2">
        <v>5653978</v>
      </c>
      <c r="B4" s="2">
        <v>5653978</v>
      </c>
      <c r="C4" s="3">
        <v>129.79820000000001</v>
      </c>
      <c r="D4" s="4"/>
      <c r="E4" s="4"/>
      <c r="F4" s="4"/>
    </row>
    <row r="5" spans="1:6" x14ac:dyDescent="0.25">
      <c r="A5" s="2">
        <v>5639999</v>
      </c>
      <c r="B5" s="2">
        <v>5639999</v>
      </c>
      <c r="C5" s="3">
        <v>118.825</v>
      </c>
      <c r="D5" s="4"/>
      <c r="E5" s="4"/>
      <c r="F5" s="4"/>
    </row>
    <row r="6" spans="1:6" x14ac:dyDescent="0.25">
      <c r="A6" s="2">
        <v>5639999</v>
      </c>
      <c r="B6" s="2">
        <v>5639999</v>
      </c>
      <c r="C6" s="3">
        <v>117.6031</v>
      </c>
      <c r="D6" s="4"/>
      <c r="E6" s="4"/>
      <c r="F6" s="4"/>
    </row>
    <row r="7" spans="1:6" x14ac:dyDescent="0.25">
      <c r="A7" s="2">
        <v>5639999</v>
      </c>
      <c r="B7" s="2">
        <v>5639999</v>
      </c>
      <c r="C7" s="3">
        <v>119.489</v>
      </c>
      <c r="D7" s="4"/>
      <c r="E7" s="4"/>
      <c r="F7" s="4"/>
    </row>
    <row r="8" spans="1:6" x14ac:dyDescent="0.25">
      <c r="A8" s="2">
        <v>5639999</v>
      </c>
      <c r="B8" s="2">
        <v>5639999</v>
      </c>
      <c r="C8" s="3">
        <v>118.1152</v>
      </c>
      <c r="D8" s="4"/>
      <c r="E8" s="4"/>
      <c r="F8" s="4"/>
    </row>
    <row r="9" spans="1:6" x14ac:dyDescent="0.25">
      <c r="A9" s="2">
        <v>5639999</v>
      </c>
      <c r="B9" s="2">
        <v>5639999</v>
      </c>
      <c r="C9" s="3">
        <v>120.3289</v>
      </c>
      <c r="D9" s="4"/>
      <c r="E9" s="4"/>
      <c r="F9" s="4"/>
    </row>
    <row r="10" spans="1:6" x14ac:dyDescent="0.25">
      <c r="A10" s="2">
        <v>5641691</v>
      </c>
      <c r="B10" s="2">
        <v>5641691</v>
      </c>
      <c r="C10" s="3">
        <v>120.002</v>
      </c>
      <c r="D10" s="4"/>
      <c r="E10" s="4"/>
      <c r="F10" s="4"/>
    </row>
    <row r="11" spans="1:6" x14ac:dyDescent="0.25">
      <c r="A11" s="2">
        <v>5641691</v>
      </c>
      <c r="B11" s="2">
        <v>5641691</v>
      </c>
      <c r="C11" s="3">
        <v>123.455</v>
      </c>
      <c r="D11" s="4"/>
      <c r="E11" s="4"/>
      <c r="F11" s="4"/>
    </row>
    <row r="12" spans="1:6" x14ac:dyDescent="0.25">
      <c r="A12" s="2">
        <v>5641691</v>
      </c>
      <c r="B12" s="2">
        <v>5641691</v>
      </c>
      <c r="C12" s="3">
        <v>117.497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6" t="s">
        <v>20</v>
      </c>
      <c r="B14" s="36"/>
      <c r="C14" s="36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SUBTOTAL(101,heap5[comparações])</f>
        <v>64580.6</v>
      </c>
      <c r="E15" s="5">
        <f>SUBTOTAL(101,heap5[trocas])</f>
        <v>51817</v>
      </c>
      <c r="F15" s="5">
        <f>SUBTOTAL(101,heap5[tempo (ms)])</f>
        <v>1.3660000000000001</v>
      </c>
    </row>
    <row r="16" spans="1:6" x14ac:dyDescent="0.25">
      <c r="A16" s="2">
        <v>64727</v>
      </c>
      <c r="B16" s="2">
        <v>51921</v>
      </c>
      <c r="C16" s="3">
        <v>1.3139000000000001</v>
      </c>
      <c r="D16" s="4"/>
      <c r="E16" s="4"/>
      <c r="F16" s="4"/>
    </row>
    <row r="17" spans="1:6" x14ac:dyDescent="0.25">
      <c r="A17" s="2">
        <v>64727</v>
      </c>
      <c r="B17" s="2">
        <v>51921</v>
      </c>
      <c r="C17" s="3">
        <v>1.3001</v>
      </c>
      <c r="D17" s="4"/>
      <c r="E17" s="4"/>
      <c r="F17" s="4"/>
    </row>
    <row r="18" spans="1:6" x14ac:dyDescent="0.25">
      <c r="A18" s="2">
        <v>64544</v>
      </c>
      <c r="B18" s="2">
        <v>51791</v>
      </c>
      <c r="C18" s="3">
        <v>1.6297999999999999</v>
      </c>
      <c r="D18" s="4"/>
      <c r="E18" s="4"/>
      <c r="F18" s="4"/>
    </row>
    <row r="19" spans="1:6" x14ac:dyDescent="0.25">
      <c r="A19" s="2">
        <v>64544</v>
      </c>
      <c r="B19" s="2">
        <v>51791</v>
      </c>
      <c r="C19" s="3">
        <v>1.3461000000000001</v>
      </c>
      <c r="D19" s="4"/>
      <c r="E19" s="4"/>
      <c r="F19" s="4"/>
    </row>
    <row r="20" spans="1:6" x14ac:dyDescent="0.25">
      <c r="A20" s="2">
        <v>64544</v>
      </c>
      <c r="B20" s="2">
        <v>51791</v>
      </c>
      <c r="C20" s="3">
        <v>1.2750999999999999</v>
      </c>
      <c r="D20" s="4"/>
      <c r="E20" s="4"/>
      <c r="F20" s="4"/>
    </row>
    <row r="21" spans="1:6" x14ac:dyDescent="0.25">
      <c r="A21" s="2">
        <v>64544</v>
      </c>
      <c r="B21" s="2">
        <v>51791</v>
      </c>
      <c r="C21" s="3">
        <v>1.478</v>
      </c>
      <c r="D21" s="4"/>
      <c r="E21" s="4"/>
      <c r="F21" s="4"/>
    </row>
    <row r="22" spans="1:6" x14ac:dyDescent="0.25">
      <c r="A22" s="2">
        <v>64544</v>
      </c>
      <c r="B22" s="2">
        <v>51791</v>
      </c>
      <c r="C22" s="3">
        <v>1.3249</v>
      </c>
      <c r="D22" s="4"/>
      <c r="E22" s="4"/>
      <c r="F22" s="4"/>
    </row>
    <row r="23" spans="1:6" x14ac:dyDescent="0.25">
      <c r="A23" s="2">
        <v>64544</v>
      </c>
      <c r="B23" s="2">
        <v>51791</v>
      </c>
      <c r="C23" s="3">
        <v>1.3080000000000001</v>
      </c>
      <c r="D23" s="4"/>
      <c r="E23" s="4"/>
      <c r="F23" s="4"/>
    </row>
    <row r="24" spans="1:6" x14ac:dyDescent="0.25">
      <c r="A24" s="2">
        <v>64544</v>
      </c>
      <c r="B24" s="2">
        <v>51791</v>
      </c>
      <c r="C24" s="3">
        <v>1.3261000000000001</v>
      </c>
      <c r="D24" s="4"/>
      <c r="E24" s="4"/>
      <c r="F24" s="4"/>
    </row>
    <row r="25" spans="1:6" x14ac:dyDescent="0.25">
      <c r="A25" s="2">
        <v>64544</v>
      </c>
      <c r="B25" s="2">
        <v>51791</v>
      </c>
      <c r="C25" s="3">
        <v>1.3580000000000001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6" t="s">
        <v>21</v>
      </c>
      <c r="B27" s="36"/>
      <c r="C27" s="36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SUBTOTAL(101,insertion5[comparações])</f>
        <v>5599468.7999999998</v>
      </c>
      <c r="E28" s="5">
        <f>SUBTOTAL(101,insertion5[trocas])</f>
        <v>5599468.7999999998</v>
      </c>
      <c r="F28" s="5">
        <f>SUBTOTAL(101,insertion5[tempo (ms)])</f>
        <v>56.5687</v>
      </c>
    </row>
    <row r="29" spans="1:6" x14ac:dyDescent="0.25">
      <c r="A29" s="2">
        <v>5619396</v>
      </c>
      <c r="B29" s="2">
        <v>5619396</v>
      </c>
      <c r="C29" s="3">
        <v>55.491900000000001</v>
      </c>
      <c r="D29" s="4"/>
      <c r="E29" s="4"/>
      <c r="F29" s="4"/>
    </row>
    <row r="30" spans="1:6" x14ac:dyDescent="0.25">
      <c r="A30" s="2">
        <v>5619396</v>
      </c>
      <c r="B30" s="2">
        <v>5619396</v>
      </c>
      <c r="C30" s="3">
        <v>60.426000000000002</v>
      </c>
      <c r="D30" s="4"/>
      <c r="E30" s="4"/>
      <c r="F30" s="4"/>
    </row>
    <row r="31" spans="1:6" x14ac:dyDescent="0.25">
      <c r="A31" s="2">
        <v>5619396</v>
      </c>
      <c r="B31" s="2">
        <v>5619396</v>
      </c>
      <c r="C31" s="3">
        <v>59.411999999999999</v>
      </c>
      <c r="D31" s="4"/>
      <c r="E31" s="4"/>
      <c r="F31" s="4"/>
    </row>
    <row r="32" spans="1:6" x14ac:dyDescent="0.25">
      <c r="A32" s="2">
        <v>5585140</v>
      </c>
      <c r="B32" s="2">
        <v>5585140</v>
      </c>
      <c r="C32" s="3">
        <v>54.393999999999998</v>
      </c>
      <c r="D32" s="4"/>
      <c r="E32" s="4"/>
      <c r="F32" s="4"/>
    </row>
    <row r="33" spans="1:6" x14ac:dyDescent="0.25">
      <c r="A33" s="2">
        <v>5585140</v>
      </c>
      <c r="B33" s="2">
        <v>5585140</v>
      </c>
      <c r="C33" s="3">
        <v>53.751899999999999</v>
      </c>
      <c r="D33" s="4"/>
      <c r="E33" s="4"/>
      <c r="F33" s="4"/>
    </row>
    <row r="34" spans="1:6" x14ac:dyDescent="0.25">
      <c r="A34" s="2">
        <v>5585140</v>
      </c>
      <c r="B34" s="2">
        <v>5585140</v>
      </c>
      <c r="C34" s="3">
        <v>54.191099999999999</v>
      </c>
      <c r="D34" s="4"/>
      <c r="E34" s="4"/>
      <c r="F34" s="4"/>
    </row>
    <row r="35" spans="1:6" x14ac:dyDescent="0.25">
      <c r="A35" s="2">
        <v>5585140</v>
      </c>
      <c r="B35" s="2">
        <v>5585140</v>
      </c>
      <c r="C35" s="3">
        <v>52.699100000000001</v>
      </c>
      <c r="D35" s="4"/>
      <c r="E35" s="4"/>
      <c r="F35" s="4"/>
    </row>
    <row r="36" spans="1:6" x14ac:dyDescent="0.25">
      <c r="A36" s="2">
        <v>5585140</v>
      </c>
      <c r="B36" s="2">
        <v>5585140</v>
      </c>
      <c r="C36" s="3">
        <v>53.825099999999999</v>
      </c>
      <c r="D36" s="4"/>
      <c r="E36" s="4"/>
      <c r="F36" s="4"/>
    </row>
    <row r="37" spans="1:6" x14ac:dyDescent="0.25">
      <c r="A37" s="2">
        <v>5585140</v>
      </c>
      <c r="B37" s="2">
        <v>5585140</v>
      </c>
      <c r="C37" s="3">
        <v>55.494999999999997</v>
      </c>
      <c r="D37" s="4"/>
      <c r="E37" s="4"/>
      <c r="F37" s="4"/>
    </row>
    <row r="38" spans="1:6" x14ac:dyDescent="0.25">
      <c r="A38" s="2">
        <v>5625660</v>
      </c>
      <c r="B38" s="2">
        <v>5625660</v>
      </c>
      <c r="C38" s="3">
        <v>66.000900000000001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FFFF00"/>
  </sheetPr>
  <dimension ref="A1:F39"/>
  <sheetViews>
    <sheetView zoomScaleNormal="100" workbookViewId="0">
      <selection activeCell="B29" sqref="B29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36" t="s">
        <v>23</v>
      </c>
      <c r="B1" s="36"/>
      <c r="C1" s="36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SUBTOTAL(101,merge5[comparações])</f>
        <v>53553.1</v>
      </c>
      <c r="E2" s="5">
        <f>SUBTOTAL(101,merge5[trocas])</f>
        <v>53553.1</v>
      </c>
      <c r="F2" s="5">
        <f>SUBTOTAL(101,merge5[tempo (ms)])</f>
        <v>1.0823800000000001</v>
      </c>
    </row>
    <row r="3" spans="1:6" x14ac:dyDescent="0.25">
      <c r="A3" s="2">
        <v>53425</v>
      </c>
      <c r="B3" s="2">
        <v>53425</v>
      </c>
      <c r="C3" s="3">
        <v>1.2441</v>
      </c>
      <c r="D3" s="4"/>
      <c r="E3" s="4"/>
      <c r="F3" s="4"/>
    </row>
    <row r="4" spans="1:6" x14ac:dyDescent="0.25">
      <c r="A4" s="2">
        <v>53650</v>
      </c>
      <c r="B4" s="2">
        <v>53650</v>
      </c>
      <c r="C4" s="3">
        <v>1.05</v>
      </c>
      <c r="D4" s="4"/>
      <c r="E4" s="4"/>
      <c r="F4" s="4"/>
    </row>
    <row r="5" spans="1:6" x14ac:dyDescent="0.25">
      <c r="A5" s="2">
        <v>53650</v>
      </c>
      <c r="B5" s="2">
        <v>53650</v>
      </c>
      <c r="C5" s="3">
        <v>1.1798999999999999</v>
      </c>
      <c r="D5" s="4"/>
      <c r="E5" s="4"/>
      <c r="F5" s="4"/>
    </row>
    <row r="6" spans="1:6" x14ac:dyDescent="0.25">
      <c r="A6" s="2">
        <v>53650</v>
      </c>
      <c r="B6" s="2">
        <v>53650</v>
      </c>
      <c r="C6" s="3">
        <v>1.333</v>
      </c>
      <c r="D6" s="4"/>
      <c r="E6" s="4"/>
      <c r="F6" s="4"/>
    </row>
    <row r="7" spans="1:6" x14ac:dyDescent="0.25">
      <c r="A7" s="2">
        <v>53650</v>
      </c>
      <c r="B7" s="2">
        <v>53650</v>
      </c>
      <c r="C7" s="3">
        <v>0.97109999999999996</v>
      </c>
      <c r="D7" s="4"/>
      <c r="E7" s="4"/>
      <c r="F7" s="4"/>
    </row>
    <row r="8" spans="1:6" x14ac:dyDescent="0.25">
      <c r="A8" s="2">
        <v>53650</v>
      </c>
      <c r="B8" s="2">
        <v>53650</v>
      </c>
      <c r="C8" s="3">
        <v>0.96299999999999997</v>
      </c>
      <c r="D8" s="4"/>
      <c r="E8" s="4"/>
      <c r="F8" s="4"/>
    </row>
    <row r="9" spans="1:6" x14ac:dyDescent="0.25">
      <c r="A9" s="2">
        <v>53650</v>
      </c>
      <c r="B9" s="2">
        <v>53650</v>
      </c>
      <c r="C9" s="3">
        <v>0.94579999999999997</v>
      </c>
      <c r="D9" s="4"/>
      <c r="E9" s="4"/>
      <c r="F9" s="4"/>
    </row>
    <row r="10" spans="1:6" x14ac:dyDescent="0.25">
      <c r="A10" s="2">
        <v>53402</v>
      </c>
      <c r="B10" s="2">
        <v>53402</v>
      </c>
      <c r="C10" s="3">
        <v>0.94510000000000005</v>
      </c>
      <c r="D10" s="4"/>
      <c r="E10" s="4"/>
      <c r="F10" s="4"/>
    </row>
    <row r="11" spans="1:6" x14ac:dyDescent="0.25">
      <c r="A11" s="2">
        <v>53402</v>
      </c>
      <c r="B11" s="2">
        <v>53402</v>
      </c>
      <c r="C11" s="3">
        <v>0.96799999999999997</v>
      </c>
      <c r="D11" s="4"/>
      <c r="E11" s="4"/>
      <c r="F11" s="4"/>
    </row>
    <row r="12" spans="1:6" x14ac:dyDescent="0.25">
      <c r="A12" s="2">
        <v>53402</v>
      </c>
      <c r="B12" s="2">
        <v>53402</v>
      </c>
      <c r="C12" s="3">
        <v>1.2238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6" t="s">
        <v>24</v>
      </c>
      <c r="B14" s="36"/>
      <c r="C14" s="36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SUBTOTAL(101,quick5[comparações])</f>
        <v>12549.7</v>
      </c>
      <c r="E15" s="5">
        <f>SUBTOTAL(101,quick5[trocas])</f>
        <v>24955.3</v>
      </c>
      <c r="F15" s="5">
        <f>SUBTOTAL(101,quick5[tempo (ms)])</f>
        <v>0.51195000000000013</v>
      </c>
    </row>
    <row r="16" spans="1:6" x14ac:dyDescent="0.25">
      <c r="A16" s="2">
        <v>12292</v>
      </c>
      <c r="B16" s="2">
        <v>24907</v>
      </c>
      <c r="C16" s="3">
        <v>0.51380000000000003</v>
      </c>
      <c r="D16" s="4"/>
      <c r="E16" s="4"/>
      <c r="F16" s="4"/>
    </row>
    <row r="17" spans="1:6" x14ac:dyDescent="0.25">
      <c r="A17" s="2">
        <v>12292</v>
      </c>
      <c r="B17" s="2">
        <v>24907</v>
      </c>
      <c r="C17" s="3">
        <v>0.4778</v>
      </c>
      <c r="D17" s="4"/>
      <c r="E17" s="4"/>
      <c r="F17" s="4"/>
    </row>
    <row r="18" spans="1:6" x14ac:dyDescent="0.25">
      <c r="A18" s="2">
        <v>12292</v>
      </c>
      <c r="B18" s="2">
        <v>24907</v>
      </c>
      <c r="C18" s="3">
        <v>0.46989999999999998</v>
      </c>
      <c r="D18" s="4"/>
      <c r="E18" s="4"/>
      <c r="F18" s="4"/>
    </row>
    <row r="19" spans="1:6" x14ac:dyDescent="0.25">
      <c r="A19" s="2">
        <v>12403</v>
      </c>
      <c r="B19" s="2">
        <v>24968</v>
      </c>
      <c r="C19" s="3">
        <v>0.54910000000000003</v>
      </c>
      <c r="D19" s="4"/>
      <c r="E19" s="4"/>
      <c r="F19" s="4"/>
    </row>
    <row r="20" spans="1:6" x14ac:dyDescent="0.25">
      <c r="A20" s="2">
        <v>12403</v>
      </c>
      <c r="B20" s="2">
        <v>24968</v>
      </c>
      <c r="C20" s="3">
        <v>0.48399999999999999</v>
      </c>
      <c r="D20" s="4"/>
      <c r="E20" s="4"/>
      <c r="F20" s="4"/>
    </row>
    <row r="21" spans="1:6" x14ac:dyDescent="0.25">
      <c r="A21" s="2">
        <v>12403</v>
      </c>
      <c r="B21" s="2">
        <v>24968</v>
      </c>
      <c r="C21" s="3">
        <v>0.49</v>
      </c>
      <c r="D21" s="4"/>
      <c r="E21" s="4"/>
      <c r="F21" s="4"/>
    </row>
    <row r="22" spans="1:6" x14ac:dyDescent="0.25">
      <c r="A22" s="2">
        <v>12403</v>
      </c>
      <c r="B22" s="2">
        <v>24968</v>
      </c>
      <c r="C22" s="3">
        <v>0.49809999999999999</v>
      </c>
      <c r="D22" s="4"/>
      <c r="E22" s="4"/>
      <c r="F22" s="4"/>
    </row>
    <row r="23" spans="1:6" x14ac:dyDescent="0.25">
      <c r="A23" s="2">
        <v>12403</v>
      </c>
      <c r="B23" s="2">
        <v>24968</v>
      </c>
      <c r="C23" s="3">
        <v>0.47589999999999999</v>
      </c>
      <c r="D23" s="4"/>
      <c r="E23" s="4"/>
      <c r="F23" s="4"/>
    </row>
    <row r="24" spans="1:6" x14ac:dyDescent="0.25">
      <c r="A24" s="2">
        <v>13303</v>
      </c>
      <c r="B24" s="2">
        <v>24996</v>
      </c>
      <c r="C24" s="3">
        <v>0.69689999999999996</v>
      </c>
      <c r="D24" s="4"/>
      <c r="E24" s="4"/>
      <c r="F24" s="4"/>
    </row>
    <row r="25" spans="1:6" x14ac:dyDescent="0.25">
      <c r="A25" s="2">
        <v>13303</v>
      </c>
      <c r="B25" s="2">
        <v>24996</v>
      </c>
      <c r="C25" s="3">
        <v>0.46400000000000002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6" t="s">
        <v>25</v>
      </c>
      <c r="B27" s="36"/>
      <c r="C27" s="36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SUBTOTAL(101,selection5[comparações])</f>
        <v>9567</v>
      </c>
      <c r="E28" s="5">
        <f>SUBTOTAL(101,selection5[trocas])</f>
        <v>4513</v>
      </c>
      <c r="F28" s="5">
        <f>SUBTOTAL(101,selection5[tempo (ms)])</f>
        <v>29.090519999999991</v>
      </c>
    </row>
    <row r="29" spans="1:6" x14ac:dyDescent="0.25">
      <c r="A29" s="2">
        <v>9619</v>
      </c>
      <c r="B29" s="2">
        <v>4505</v>
      </c>
      <c r="C29" s="3">
        <v>28.3642</v>
      </c>
      <c r="D29" s="4"/>
      <c r="E29" s="4"/>
      <c r="F29" s="4"/>
    </row>
    <row r="30" spans="1:6" x14ac:dyDescent="0.25">
      <c r="A30" s="2">
        <v>9619</v>
      </c>
      <c r="B30" s="2">
        <v>4505</v>
      </c>
      <c r="C30" s="3">
        <v>31.321000000000002</v>
      </c>
      <c r="D30" s="4"/>
      <c r="E30" s="4"/>
      <c r="F30" s="4"/>
    </row>
    <row r="31" spans="1:6" x14ac:dyDescent="0.25">
      <c r="A31" s="2">
        <v>9554</v>
      </c>
      <c r="B31" s="2">
        <v>4515</v>
      </c>
      <c r="C31" s="3">
        <v>29.549800000000001</v>
      </c>
      <c r="D31" s="4"/>
      <c r="E31" s="4"/>
      <c r="F31" s="4"/>
    </row>
    <row r="32" spans="1:6" x14ac:dyDescent="0.25">
      <c r="A32" s="2">
        <v>9554</v>
      </c>
      <c r="B32" s="2">
        <v>4515</v>
      </c>
      <c r="C32" s="3">
        <v>29.151900000000001</v>
      </c>
      <c r="D32" s="4"/>
      <c r="E32" s="4"/>
      <c r="F32" s="4"/>
    </row>
    <row r="33" spans="1:6" x14ac:dyDescent="0.25">
      <c r="A33" s="2">
        <v>9554</v>
      </c>
      <c r="B33" s="2">
        <v>4515</v>
      </c>
      <c r="C33" s="3">
        <v>28.299099999999999</v>
      </c>
      <c r="D33" s="4"/>
      <c r="E33" s="4"/>
      <c r="F33" s="4"/>
    </row>
    <row r="34" spans="1:6" x14ac:dyDescent="0.25">
      <c r="A34" s="2">
        <v>9554</v>
      </c>
      <c r="B34" s="2">
        <v>4515</v>
      </c>
      <c r="C34" s="3">
        <v>28.371099999999998</v>
      </c>
      <c r="D34" s="4"/>
      <c r="E34" s="4"/>
      <c r="F34" s="4"/>
    </row>
    <row r="35" spans="1:6" x14ac:dyDescent="0.25">
      <c r="A35" s="2">
        <v>9554</v>
      </c>
      <c r="B35" s="2">
        <v>4515</v>
      </c>
      <c r="C35" s="3">
        <v>28.0581</v>
      </c>
      <c r="D35" s="4"/>
      <c r="E35" s="4"/>
      <c r="F35" s="4"/>
    </row>
    <row r="36" spans="1:6" x14ac:dyDescent="0.25">
      <c r="A36" s="2">
        <v>9554</v>
      </c>
      <c r="B36" s="2">
        <v>4515</v>
      </c>
      <c r="C36" s="3">
        <v>28.2121</v>
      </c>
      <c r="D36" s="4"/>
      <c r="E36" s="4"/>
      <c r="F36" s="4"/>
    </row>
    <row r="37" spans="1:6" x14ac:dyDescent="0.25">
      <c r="A37" s="2">
        <v>9554</v>
      </c>
      <c r="B37" s="2">
        <v>4515</v>
      </c>
      <c r="C37" s="3">
        <v>28.244</v>
      </c>
      <c r="D37" s="4"/>
      <c r="E37" s="4"/>
      <c r="F37" s="4"/>
    </row>
    <row r="38" spans="1:6" x14ac:dyDescent="0.25">
      <c r="A38" s="2">
        <v>9554</v>
      </c>
      <c r="B38" s="2">
        <v>4515</v>
      </c>
      <c r="C38" s="3">
        <v>31.3339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rgb="FFFFC000"/>
  </sheetPr>
  <dimension ref="A1:F39"/>
  <sheetViews>
    <sheetView zoomScaleNormal="100" workbookViewId="0">
      <selection activeCell="G21" sqref="G21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37" t="s">
        <v>17</v>
      </c>
      <c r="B1" s="37"/>
      <c r="C1" s="37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SUBTOTAL(101,bubble10_[comparações])</f>
        <v>22542997.399999999</v>
      </c>
      <c r="E2" s="5">
        <f>SUBTOTAL(101,bubble10_[trocas])</f>
        <v>22542997.399999999</v>
      </c>
      <c r="F2" s="5">
        <f>SUBTOTAL(101,bubble10_[tempo (ms)])</f>
        <v>489.18585000000002</v>
      </c>
    </row>
    <row r="3" spans="1:6" x14ac:dyDescent="0.25">
      <c r="A3" s="2">
        <v>22583039</v>
      </c>
      <c r="B3" s="2">
        <v>22583039</v>
      </c>
      <c r="C3" s="3">
        <v>503.66</v>
      </c>
      <c r="D3" s="4"/>
      <c r="E3" s="4"/>
      <c r="F3" s="4"/>
    </row>
    <row r="4" spans="1:6" x14ac:dyDescent="0.25">
      <c r="A4" s="2">
        <v>22583039</v>
      </c>
      <c r="B4" s="2">
        <v>22583039</v>
      </c>
      <c r="C4" s="3">
        <v>511.72989999999999</v>
      </c>
      <c r="D4" s="4"/>
      <c r="E4" s="4"/>
      <c r="F4" s="4"/>
    </row>
    <row r="5" spans="1:6" x14ac:dyDescent="0.25">
      <c r="A5" s="2">
        <v>22203248</v>
      </c>
      <c r="B5" s="2">
        <v>22203248</v>
      </c>
      <c r="C5" s="3">
        <v>479.12</v>
      </c>
      <c r="D5" s="4"/>
      <c r="E5" s="4"/>
      <c r="F5" s="4"/>
    </row>
    <row r="6" spans="1:6" x14ac:dyDescent="0.25">
      <c r="A6" s="2">
        <v>22476771</v>
      </c>
      <c r="B6" s="2">
        <v>22476771</v>
      </c>
      <c r="C6" s="3">
        <v>479.75799999999998</v>
      </c>
      <c r="D6" s="4"/>
      <c r="E6" s="4"/>
      <c r="F6" s="4"/>
    </row>
    <row r="7" spans="1:6" x14ac:dyDescent="0.25">
      <c r="A7" s="2">
        <v>22476771</v>
      </c>
      <c r="B7" s="2">
        <v>22476771</v>
      </c>
      <c r="C7" s="3">
        <v>487.49090000000001</v>
      </c>
      <c r="D7" s="4"/>
      <c r="E7" s="4"/>
      <c r="F7" s="4"/>
    </row>
    <row r="8" spans="1:6" x14ac:dyDescent="0.25">
      <c r="A8" s="2">
        <v>22301065</v>
      </c>
      <c r="B8" s="2">
        <v>22301065</v>
      </c>
      <c r="C8" s="3">
        <v>492.59899999999999</v>
      </c>
      <c r="D8" s="4"/>
      <c r="E8" s="4"/>
      <c r="F8" s="4"/>
    </row>
    <row r="9" spans="1:6" x14ac:dyDescent="0.25">
      <c r="A9" s="2">
        <v>22301065</v>
      </c>
      <c r="B9" s="2">
        <v>22301065</v>
      </c>
      <c r="C9" s="3">
        <v>469.6019</v>
      </c>
      <c r="D9" s="4"/>
      <c r="E9" s="4"/>
      <c r="F9" s="4"/>
    </row>
    <row r="10" spans="1:6" x14ac:dyDescent="0.25">
      <c r="A10" s="2">
        <v>22781796</v>
      </c>
      <c r="B10" s="2">
        <v>22781796</v>
      </c>
      <c r="C10" s="3">
        <v>477.41289999999998</v>
      </c>
      <c r="D10" s="4"/>
      <c r="E10" s="4"/>
      <c r="F10" s="4"/>
    </row>
    <row r="11" spans="1:6" x14ac:dyDescent="0.25">
      <c r="A11" s="2">
        <v>22861590</v>
      </c>
      <c r="B11" s="2">
        <v>22861590</v>
      </c>
      <c r="C11" s="3">
        <v>495.57900000000001</v>
      </c>
      <c r="D11" s="4"/>
      <c r="E11" s="4"/>
      <c r="F11" s="4"/>
    </row>
    <row r="12" spans="1:6" x14ac:dyDescent="0.25">
      <c r="A12" s="2">
        <v>22861590</v>
      </c>
      <c r="B12" s="2">
        <v>22861590</v>
      </c>
      <c r="C12" s="3">
        <v>494.90690000000001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7" t="s">
        <v>20</v>
      </c>
      <c r="B14" s="37"/>
      <c r="C14" s="37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SUBTOTAL(101,heap10[comparações])</f>
        <v>142255</v>
      </c>
      <c r="E15" s="5">
        <f>SUBTOTAL(101,heap10[trocas])</f>
        <v>112662</v>
      </c>
      <c r="F15" s="5">
        <f>SUBTOTAL(101,heap10[tempo (ms)])</f>
        <v>3.1580599999999999</v>
      </c>
    </row>
    <row r="16" spans="1:6" x14ac:dyDescent="0.25">
      <c r="A16" s="2">
        <v>142130</v>
      </c>
      <c r="B16" s="2">
        <v>112653</v>
      </c>
      <c r="C16" s="3">
        <v>2.9468999999999999</v>
      </c>
      <c r="D16" s="4"/>
      <c r="E16" s="4"/>
      <c r="F16" s="4"/>
    </row>
    <row r="17" spans="1:6" x14ac:dyDescent="0.25">
      <c r="A17" s="2">
        <v>142130</v>
      </c>
      <c r="B17" s="2">
        <v>112653</v>
      </c>
      <c r="C17" s="3">
        <v>3.0228999999999999</v>
      </c>
      <c r="D17" s="4"/>
      <c r="E17" s="4"/>
      <c r="F17" s="4"/>
    </row>
    <row r="18" spans="1:6" x14ac:dyDescent="0.25">
      <c r="A18" s="2">
        <v>142130</v>
      </c>
      <c r="B18" s="2">
        <v>112653</v>
      </c>
      <c r="C18" s="3">
        <v>2.9249000000000001</v>
      </c>
      <c r="D18" s="4"/>
      <c r="E18" s="4"/>
      <c r="F18" s="4"/>
    </row>
    <row r="19" spans="1:6" x14ac:dyDescent="0.25">
      <c r="A19" s="2">
        <v>142130</v>
      </c>
      <c r="B19" s="2">
        <v>112653</v>
      </c>
      <c r="C19" s="3">
        <v>3.3759999999999999</v>
      </c>
      <c r="D19" s="4"/>
      <c r="E19" s="4"/>
      <c r="F19" s="4"/>
    </row>
    <row r="20" spans="1:6" x14ac:dyDescent="0.25">
      <c r="A20" s="2">
        <v>142130</v>
      </c>
      <c r="B20" s="2">
        <v>112653</v>
      </c>
      <c r="C20" s="3">
        <v>3.577</v>
      </c>
      <c r="D20" s="4"/>
      <c r="E20" s="4"/>
      <c r="F20" s="4"/>
    </row>
    <row r="21" spans="1:6" x14ac:dyDescent="0.25">
      <c r="A21" s="2">
        <v>142380</v>
      </c>
      <c r="B21" s="2">
        <v>112671</v>
      </c>
      <c r="C21" s="3">
        <v>3.3698000000000001</v>
      </c>
      <c r="D21" s="4"/>
      <c r="E21" s="4"/>
      <c r="F21" s="4"/>
    </row>
    <row r="22" spans="1:6" x14ac:dyDescent="0.25">
      <c r="A22" s="2">
        <v>142380</v>
      </c>
      <c r="B22" s="2">
        <v>112671</v>
      </c>
      <c r="C22" s="3">
        <v>3.0322</v>
      </c>
      <c r="D22" s="4"/>
      <c r="E22" s="4"/>
      <c r="F22" s="4"/>
    </row>
    <row r="23" spans="1:6" x14ac:dyDescent="0.25">
      <c r="A23" s="2">
        <v>142380</v>
      </c>
      <c r="B23" s="2">
        <v>112671</v>
      </c>
      <c r="C23" s="3">
        <v>2.964</v>
      </c>
      <c r="D23" s="4"/>
      <c r="E23" s="4"/>
      <c r="F23" s="4"/>
    </row>
    <row r="24" spans="1:6" x14ac:dyDescent="0.25">
      <c r="A24" s="2">
        <v>142380</v>
      </c>
      <c r="B24" s="2">
        <v>112671</v>
      </c>
      <c r="C24" s="3">
        <v>3.427</v>
      </c>
      <c r="D24" s="4"/>
      <c r="E24" s="4"/>
      <c r="F24" s="4"/>
    </row>
    <row r="25" spans="1:6" x14ac:dyDescent="0.25">
      <c r="A25" s="2">
        <v>142380</v>
      </c>
      <c r="B25" s="2">
        <v>112671</v>
      </c>
      <c r="C25" s="3">
        <v>2.9399000000000002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7" t="s">
        <v>21</v>
      </c>
      <c r="B27" s="37"/>
      <c r="C27" s="37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SUBTOTAL(101,insertion10[comparações])</f>
        <v>22490222.5</v>
      </c>
      <c r="E28" s="5">
        <f>SUBTOTAL(101,insertion10[trocas])</f>
        <v>22490222.5</v>
      </c>
      <c r="F28" s="5">
        <f>SUBTOTAL(101,insertion10[tempo (ms)])</f>
        <v>221.58328999999998</v>
      </c>
    </row>
    <row r="29" spans="1:6" x14ac:dyDescent="0.25">
      <c r="A29" s="2">
        <v>22249399</v>
      </c>
      <c r="B29" s="2">
        <v>22249399</v>
      </c>
      <c r="C29" s="3">
        <v>211.08099999999999</v>
      </c>
      <c r="D29" s="4"/>
      <c r="E29" s="4"/>
      <c r="F29" s="4"/>
    </row>
    <row r="30" spans="1:6" x14ac:dyDescent="0.25">
      <c r="A30" s="2">
        <v>22453563</v>
      </c>
      <c r="B30" s="2">
        <v>22453563</v>
      </c>
      <c r="C30" s="3">
        <v>263.87689999999998</v>
      </c>
      <c r="D30" s="4"/>
      <c r="E30" s="4"/>
      <c r="F30" s="4"/>
    </row>
    <row r="31" spans="1:6" x14ac:dyDescent="0.25">
      <c r="A31" s="2">
        <v>22453563</v>
      </c>
      <c r="B31" s="2">
        <v>22453563</v>
      </c>
      <c r="C31" s="3">
        <v>212.97</v>
      </c>
      <c r="D31" s="4"/>
      <c r="E31" s="4"/>
      <c r="F31" s="4"/>
    </row>
    <row r="32" spans="1:6" x14ac:dyDescent="0.25">
      <c r="A32" s="2">
        <v>22453563</v>
      </c>
      <c r="B32" s="2">
        <v>22453563</v>
      </c>
      <c r="C32" s="3">
        <v>220.85</v>
      </c>
      <c r="D32" s="4"/>
      <c r="E32" s="4"/>
      <c r="F32" s="4"/>
    </row>
    <row r="33" spans="1:6" x14ac:dyDescent="0.25">
      <c r="A33" s="2">
        <v>22721301</v>
      </c>
      <c r="B33" s="2">
        <v>22721301</v>
      </c>
      <c r="C33" s="3">
        <v>215.43600000000001</v>
      </c>
      <c r="D33" s="4"/>
      <c r="E33" s="4"/>
      <c r="F33" s="4"/>
    </row>
    <row r="34" spans="1:6" x14ac:dyDescent="0.25">
      <c r="A34" s="2">
        <v>22721301</v>
      </c>
      <c r="B34" s="2">
        <v>22721301</v>
      </c>
      <c r="C34" s="3">
        <v>214.76410000000001</v>
      </c>
      <c r="D34" s="4"/>
      <c r="E34" s="4"/>
      <c r="F34" s="4"/>
    </row>
    <row r="35" spans="1:6" x14ac:dyDescent="0.25">
      <c r="A35" s="2">
        <v>22721301</v>
      </c>
      <c r="B35" s="2">
        <v>22721301</v>
      </c>
      <c r="C35" s="3">
        <v>221.98009999999999</v>
      </c>
      <c r="D35" s="4"/>
      <c r="E35" s="4"/>
      <c r="F35" s="4"/>
    </row>
    <row r="36" spans="1:6" x14ac:dyDescent="0.25">
      <c r="A36" s="2">
        <v>22376078</v>
      </c>
      <c r="B36" s="2">
        <v>22376078</v>
      </c>
      <c r="C36" s="3">
        <v>218.328</v>
      </c>
      <c r="D36" s="4"/>
      <c r="E36" s="4"/>
      <c r="F36" s="4"/>
    </row>
    <row r="37" spans="1:6" x14ac:dyDescent="0.25">
      <c r="A37" s="2">
        <v>22376078</v>
      </c>
      <c r="B37" s="2">
        <v>22376078</v>
      </c>
      <c r="C37" s="3">
        <v>225.53899999999999</v>
      </c>
      <c r="D37" s="4"/>
      <c r="E37" s="4"/>
      <c r="F37" s="4"/>
    </row>
    <row r="38" spans="1:6" x14ac:dyDescent="0.25">
      <c r="A38" s="2">
        <v>22376078</v>
      </c>
      <c r="B38" s="2">
        <v>22376078</v>
      </c>
      <c r="C38" s="3">
        <v>211.0078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C000"/>
  </sheetPr>
  <dimension ref="A1:F39"/>
  <sheetViews>
    <sheetView zoomScaleNormal="100" workbookViewId="0">
      <selection activeCell="I29" sqref="I29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37" t="s">
        <v>23</v>
      </c>
      <c r="B1" s="37"/>
      <c r="C1" s="37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SUBTOTAL(101,merge10[comparações])</f>
        <v>116473.5</v>
      </c>
      <c r="E2" s="5">
        <f>SUBTOTAL(101,merge10[trocas])</f>
        <v>116473.5</v>
      </c>
      <c r="F2" s="5">
        <f>SUBTOTAL(101,merge10[tempo (ms)])</f>
        <v>2.3306800000000001</v>
      </c>
    </row>
    <row r="3" spans="1:6" x14ac:dyDescent="0.25">
      <c r="A3" s="2">
        <v>116565</v>
      </c>
      <c r="B3" s="2">
        <v>116565</v>
      </c>
      <c r="C3" s="3">
        <v>2.5680000000000001</v>
      </c>
      <c r="D3" s="4"/>
      <c r="E3" s="4"/>
      <c r="F3" s="4"/>
    </row>
    <row r="4" spans="1:6" x14ac:dyDescent="0.25">
      <c r="A4" s="2">
        <v>116565</v>
      </c>
      <c r="B4" s="2">
        <v>116565</v>
      </c>
      <c r="C4" s="3">
        <v>2.0981000000000001</v>
      </c>
      <c r="D4" s="4"/>
      <c r="E4" s="4"/>
      <c r="F4" s="4"/>
    </row>
    <row r="5" spans="1:6" x14ac:dyDescent="0.25">
      <c r="A5" s="2">
        <v>116565</v>
      </c>
      <c r="B5" s="2">
        <v>116565</v>
      </c>
      <c r="C5" s="3">
        <v>2.6309</v>
      </c>
      <c r="D5" s="4"/>
      <c r="E5" s="4"/>
      <c r="F5" s="4"/>
    </row>
    <row r="6" spans="1:6" x14ac:dyDescent="0.25">
      <c r="A6" s="2">
        <v>116565</v>
      </c>
      <c r="B6" s="2">
        <v>116565</v>
      </c>
      <c r="C6" s="3">
        <v>2.758</v>
      </c>
      <c r="D6" s="4"/>
      <c r="E6" s="4"/>
      <c r="F6" s="4"/>
    </row>
    <row r="7" spans="1:6" x14ac:dyDescent="0.25">
      <c r="A7" s="2">
        <v>116565</v>
      </c>
      <c r="B7" s="2">
        <v>116565</v>
      </c>
      <c r="C7" s="3">
        <v>2.5539000000000001</v>
      </c>
      <c r="D7" s="4"/>
      <c r="E7" s="4"/>
      <c r="F7" s="4"/>
    </row>
    <row r="8" spans="1:6" x14ac:dyDescent="0.25">
      <c r="A8" s="2">
        <v>116382</v>
      </c>
      <c r="B8" s="2">
        <v>116382</v>
      </c>
      <c r="C8" s="3">
        <v>2.0861999999999998</v>
      </c>
      <c r="D8" s="4"/>
      <c r="E8" s="4"/>
      <c r="F8" s="4"/>
    </row>
    <row r="9" spans="1:6" x14ac:dyDescent="0.25">
      <c r="A9" s="2">
        <v>116382</v>
      </c>
      <c r="B9" s="2">
        <v>116382</v>
      </c>
      <c r="C9" s="3">
        <v>2.1438999999999999</v>
      </c>
      <c r="D9" s="4"/>
      <c r="E9" s="4"/>
      <c r="F9" s="4"/>
    </row>
    <row r="10" spans="1:6" x14ac:dyDescent="0.25">
      <c r="A10" s="2">
        <v>116382</v>
      </c>
      <c r="B10" s="2">
        <v>116382</v>
      </c>
      <c r="C10" s="3">
        <v>2.0350999999999999</v>
      </c>
      <c r="D10" s="4"/>
      <c r="E10" s="4"/>
      <c r="F10" s="4"/>
    </row>
    <row r="11" spans="1:6" x14ac:dyDescent="0.25">
      <c r="A11" s="2">
        <v>116382</v>
      </c>
      <c r="B11" s="2">
        <v>116382</v>
      </c>
      <c r="C11" s="3">
        <v>2.0558999999999998</v>
      </c>
      <c r="D11" s="4"/>
      <c r="E11" s="4"/>
      <c r="F11" s="4"/>
    </row>
    <row r="12" spans="1:6" x14ac:dyDescent="0.25">
      <c r="A12" s="2">
        <v>116382</v>
      </c>
      <c r="B12" s="2">
        <v>116382</v>
      </c>
      <c r="C12" s="3">
        <v>2.3767999999999998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7" t="s">
        <v>24</v>
      </c>
      <c r="B14" s="37"/>
      <c r="C14" s="37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SUBTOTAL(101,quick10[comparações])</f>
        <v>28452.799999999999</v>
      </c>
      <c r="E15" s="5">
        <f>SUBTOTAL(101,quick10[trocas])</f>
        <v>54714.3</v>
      </c>
      <c r="F15" s="5">
        <f>SUBTOTAL(101,quick10[tempo (ms)])</f>
        <v>1.1559699999999999</v>
      </c>
    </row>
    <row r="16" spans="1:6" x14ac:dyDescent="0.25">
      <c r="A16" s="2">
        <v>29150</v>
      </c>
      <c r="B16" s="2">
        <v>54533</v>
      </c>
      <c r="C16" s="3">
        <v>1.0419</v>
      </c>
      <c r="D16" s="4"/>
      <c r="E16" s="4"/>
      <c r="F16" s="4"/>
    </row>
    <row r="17" spans="1:6" x14ac:dyDescent="0.25">
      <c r="A17" s="2">
        <v>29150</v>
      </c>
      <c r="B17" s="2">
        <v>54533</v>
      </c>
      <c r="C17" s="3">
        <v>1.018</v>
      </c>
      <c r="D17" s="4"/>
      <c r="E17" s="4"/>
      <c r="F17" s="4"/>
    </row>
    <row r="18" spans="1:6" x14ac:dyDescent="0.25">
      <c r="A18" s="2">
        <v>29150</v>
      </c>
      <c r="B18" s="2">
        <v>54533</v>
      </c>
      <c r="C18" s="3">
        <v>1.04</v>
      </c>
      <c r="D18" s="4"/>
      <c r="E18" s="4"/>
      <c r="F18" s="4"/>
    </row>
    <row r="19" spans="1:6" x14ac:dyDescent="0.25">
      <c r="A19" s="2">
        <v>28154</v>
      </c>
      <c r="B19" s="2">
        <v>54792</v>
      </c>
      <c r="C19" s="3">
        <v>0.98709999999999998</v>
      </c>
      <c r="D19" s="4"/>
      <c r="E19" s="4"/>
      <c r="F19" s="4"/>
    </row>
    <row r="20" spans="1:6" x14ac:dyDescent="0.25">
      <c r="A20" s="2">
        <v>28154</v>
      </c>
      <c r="B20" s="2">
        <v>54792</v>
      </c>
      <c r="C20" s="3">
        <v>1.0530999999999999</v>
      </c>
      <c r="D20" s="4"/>
      <c r="E20" s="4"/>
      <c r="F20" s="4"/>
    </row>
    <row r="21" spans="1:6" x14ac:dyDescent="0.25">
      <c r="A21" s="2">
        <v>28154</v>
      </c>
      <c r="B21" s="2">
        <v>54792</v>
      </c>
      <c r="C21" s="3">
        <v>1.4069</v>
      </c>
      <c r="D21" s="4"/>
      <c r="E21" s="4"/>
      <c r="F21" s="4"/>
    </row>
    <row r="22" spans="1:6" x14ac:dyDescent="0.25">
      <c r="A22" s="2">
        <v>28154</v>
      </c>
      <c r="B22" s="2">
        <v>54792</v>
      </c>
      <c r="C22" s="3">
        <v>1.3858999999999999</v>
      </c>
      <c r="D22" s="4"/>
      <c r="E22" s="4"/>
      <c r="F22" s="4"/>
    </row>
    <row r="23" spans="1:6" x14ac:dyDescent="0.25">
      <c r="A23" s="2">
        <v>28154</v>
      </c>
      <c r="B23" s="2">
        <v>54792</v>
      </c>
      <c r="C23" s="3">
        <v>0.97389999999999999</v>
      </c>
      <c r="D23" s="4"/>
      <c r="E23" s="4"/>
      <c r="F23" s="4"/>
    </row>
    <row r="24" spans="1:6" x14ac:dyDescent="0.25">
      <c r="A24" s="2">
        <v>28154</v>
      </c>
      <c r="B24" s="2">
        <v>54792</v>
      </c>
      <c r="C24" s="3">
        <v>1.2669999999999999</v>
      </c>
      <c r="D24" s="4"/>
      <c r="E24" s="4"/>
      <c r="F24" s="4"/>
    </row>
    <row r="25" spans="1:6" x14ac:dyDescent="0.25">
      <c r="A25" s="2">
        <v>28154</v>
      </c>
      <c r="B25" s="2">
        <v>54792</v>
      </c>
      <c r="C25" s="3">
        <v>1.3858999999999999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7" t="s">
        <v>25</v>
      </c>
      <c r="B27" s="37"/>
      <c r="C27" s="37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SUBTOTAL(101,selection10[comparações])</f>
        <v>19382</v>
      </c>
      <c r="E28" s="5">
        <f>SUBTOTAL(101,selection10[trocas])</f>
        <v>9023.5</v>
      </c>
      <c r="F28" s="5">
        <f>SUBTOTAL(101,selection10[tempo (ms)])</f>
        <v>116.29857999999999</v>
      </c>
    </row>
    <row r="29" spans="1:6" x14ac:dyDescent="0.25">
      <c r="A29" s="2">
        <v>19229</v>
      </c>
      <c r="B29" s="2">
        <v>9013</v>
      </c>
      <c r="C29" s="3">
        <v>118.196</v>
      </c>
      <c r="D29" s="4"/>
      <c r="E29" s="4"/>
      <c r="F29" s="4"/>
    </row>
    <row r="30" spans="1:6" x14ac:dyDescent="0.25">
      <c r="A30" s="2">
        <v>19414</v>
      </c>
      <c r="B30" s="2">
        <v>9023</v>
      </c>
      <c r="C30" s="3">
        <v>124.55110000000001</v>
      </c>
      <c r="D30" s="4"/>
      <c r="E30" s="4"/>
      <c r="F30" s="4"/>
    </row>
    <row r="31" spans="1:6" x14ac:dyDescent="0.25">
      <c r="A31" s="2">
        <v>19414</v>
      </c>
      <c r="B31" s="2">
        <v>9023</v>
      </c>
      <c r="C31" s="3">
        <v>126.1039</v>
      </c>
      <c r="D31" s="4"/>
      <c r="E31" s="4"/>
      <c r="F31" s="4"/>
    </row>
    <row r="32" spans="1:6" x14ac:dyDescent="0.25">
      <c r="A32" s="2">
        <v>19414</v>
      </c>
      <c r="B32" s="2">
        <v>9023</v>
      </c>
      <c r="C32" s="3">
        <v>119.9601</v>
      </c>
      <c r="D32" s="4"/>
      <c r="E32" s="4"/>
      <c r="F32" s="4"/>
    </row>
    <row r="33" spans="1:6" x14ac:dyDescent="0.25">
      <c r="A33" s="2">
        <v>19414</v>
      </c>
      <c r="B33" s="2">
        <v>9023</v>
      </c>
      <c r="C33" s="3">
        <v>110.961</v>
      </c>
      <c r="D33" s="4"/>
      <c r="E33" s="4"/>
      <c r="F33" s="4"/>
    </row>
    <row r="34" spans="1:6" x14ac:dyDescent="0.25">
      <c r="A34" s="2">
        <v>19387</v>
      </c>
      <c r="B34" s="2">
        <v>9026</v>
      </c>
      <c r="C34" s="3">
        <v>112.7448</v>
      </c>
      <c r="D34" s="4"/>
      <c r="E34" s="4"/>
      <c r="F34" s="4"/>
    </row>
    <row r="35" spans="1:6" x14ac:dyDescent="0.25">
      <c r="A35" s="2">
        <v>19387</v>
      </c>
      <c r="B35" s="2">
        <v>9026</v>
      </c>
      <c r="C35" s="3">
        <v>111.532</v>
      </c>
      <c r="D35" s="4"/>
      <c r="E35" s="4"/>
      <c r="F35" s="4"/>
    </row>
    <row r="36" spans="1:6" x14ac:dyDescent="0.25">
      <c r="A36" s="2">
        <v>19387</v>
      </c>
      <c r="B36" s="2">
        <v>9026</v>
      </c>
      <c r="C36" s="3">
        <v>112.01600000000001</v>
      </c>
      <c r="D36" s="4"/>
      <c r="E36" s="4"/>
      <c r="F36" s="4"/>
    </row>
    <row r="37" spans="1:6" x14ac:dyDescent="0.25">
      <c r="A37" s="2">
        <v>19387</v>
      </c>
      <c r="B37" s="2">
        <v>9026</v>
      </c>
      <c r="C37" s="3">
        <v>111.187</v>
      </c>
      <c r="D37" s="4"/>
      <c r="E37" s="4"/>
      <c r="F37" s="4"/>
    </row>
    <row r="38" spans="1:6" x14ac:dyDescent="0.25">
      <c r="A38" s="2">
        <v>19387</v>
      </c>
      <c r="B38" s="2">
        <v>9026</v>
      </c>
      <c r="C38" s="3">
        <v>115.73390000000001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A1:F39"/>
  <sheetViews>
    <sheetView zoomScaleNormal="100" workbookViewId="0">
      <selection activeCell="I11" sqref="I11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38" t="s">
        <v>17</v>
      </c>
      <c r="B1" s="38"/>
      <c r="C1" s="38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SUBTOTAL(101,bubble20_[comparações])</f>
        <v>90171139.099999994</v>
      </c>
      <c r="E2" s="5">
        <f>SUBTOTAL(101,bubble20_[trocas])</f>
        <v>90171139.099999994</v>
      </c>
      <c r="F2" s="5">
        <f>SUBTOTAL(101,bubble20_[tempo (ms)])</f>
        <v>1869.3245099999997</v>
      </c>
    </row>
    <row r="3" spans="1:6" x14ac:dyDescent="0.25">
      <c r="A3" s="2">
        <v>90490289</v>
      </c>
      <c r="B3" s="2">
        <v>90490289</v>
      </c>
      <c r="C3" s="3">
        <v>1898.0391</v>
      </c>
      <c r="D3" s="4"/>
      <c r="E3" s="4"/>
      <c r="F3" s="4"/>
    </row>
    <row r="4" spans="1:6" x14ac:dyDescent="0.25">
      <c r="A4" s="2">
        <v>89767828</v>
      </c>
      <c r="B4" s="2">
        <v>89767828</v>
      </c>
      <c r="C4" s="3">
        <v>1858.49</v>
      </c>
      <c r="D4" s="4"/>
      <c r="E4" s="4"/>
      <c r="F4" s="4"/>
    </row>
    <row r="5" spans="1:6" x14ac:dyDescent="0.25">
      <c r="A5" s="2">
        <v>89783272</v>
      </c>
      <c r="B5" s="2">
        <v>89783272</v>
      </c>
      <c r="C5" s="3">
        <v>1855.3087</v>
      </c>
      <c r="D5" s="4"/>
      <c r="E5" s="4"/>
      <c r="F5" s="4"/>
    </row>
    <row r="6" spans="1:6" x14ac:dyDescent="0.25">
      <c r="A6" s="2">
        <v>90413694</v>
      </c>
      <c r="B6" s="2">
        <v>90413694</v>
      </c>
      <c r="C6" s="3">
        <v>1874.6850999999999</v>
      </c>
      <c r="D6" s="4"/>
      <c r="E6" s="4"/>
      <c r="F6" s="4"/>
    </row>
    <row r="7" spans="1:6" x14ac:dyDescent="0.25">
      <c r="A7" s="2">
        <v>89992799</v>
      </c>
      <c r="B7" s="2">
        <v>89992799</v>
      </c>
      <c r="C7" s="3">
        <v>1872.5410999999999</v>
      </c>
      <c r="D7" s="4"/>
      <c r="E7" s="4"/>
      <c r="F7" s="4"/>
    </row>
    <row r="8" spans="1:6" x14ac:dyDescent="0.25">
      <c r="A8" s="2">
        <v>89913969</v>
      </c>
      <c r="B8" s="2">
        <v>89913969</v>
      </c>
      <c r="C8" s="3">
        <v>1861.6859999999999</v>
      </c>
      <c r="D8" s="4"/>
      <c r="E8" s="4"/>
      <c r="F8" s="4"/>
    </row>
    <row r="9" spans="1:6" x14ac:dyDescent="0.25">
      <c r="A9" s="2">
        <v>90283065</v>
      </c>
      <c r="B9" s="2">
        <v>90283065</v>
      </c>
      <c r="C9" s="3">
        <v>1870.4799</v>
      </c>
      <c r="D9" s="4"/>
      <c r="E9" s="4"/>
      <c r="F9" s="4"/>
    </row>
    <row r="10" spans="1:6" x14ac:dyDescent="0.25">
      <c r="A10" s="2">
        <v>89651131</v>
      </c>
      <c r="B10" s="2">
        <v>89651131</v>
      </c>
      <c r="C10" s="3">
        <v>1870.2941000000001</v>
      </c>
      <c r="D10" s="4"/>
      <c r="E10" s="4"/>
      <c r="F10" s="4"/>
    </row>
    <row r="11" spans="1:6" x14ac:dyDescent="0.25">
      <c r="A11" s="2">
        <v>90634621</v>
      </c>
      <c r="B11" s="2">
        <v>90634621</v>
      </c>
      <c r="C11" s="3">
        <v>1862.3330000000001</v>
      </c>
      <c r="D11" s="4"/>
      <c r="E11" s="4"/>
      <c r="F11" s="4"/>
    </row>
    <row r="12" spans="1:6" x14ac:dyDescent="0.25">
      <c r="A12" s="2">
        <v>90780723</v>
      </c>
      <c r="B12" s="2">
        <v>90780723</v>
      </c>
      <c r="C12" s="3">
        <v>1869.3880999999999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8" t="s">
        <v>20</v>
      </c>
      <c r="B14" s="38"/>
      <c r="C14" s="38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SUBTOTAL(101,heap20[comparações])</f>
        <v>309796.2</v>
      </c>
      <c r="E15" s="5">
        <f>SUBTOTAL(101,heap20[trocas])</f>
        <v>243278.6</v>
      </c>
      <c r="F15" s="5">
        <f>SUBTOTAL(101,heap20[tempo (ms)])</f>
        <v>6.4082499999999998</v>
      </c>
    </row>
    <row r="16" spans="1:6" x14ac:dyDescent="0.25">
      <c r="A16" s="2">
        <v>309741</v>
      </c>
      <c r="B16" s="2">
        <v>243305</v>
      </c>
      <c r="C16" s="3">
        <v>5.9919000000000002</v>
      </c>
      <c r="D16" s="4"/>
      <c r="E16" s="4"/>
      <c r="F16" s="4"/>
    </row>
    <row r="17" spans="1:6" x14ac:dyDescent="0.25">
      <c r="A17" s="2">
        <v>309741</v>
      </c>
      <c r="B17" s="2">
        <v>243305</v>
      </c>
      <c r="C17" s="3">
        <v>6.2358000000000002</v>
      </c>
      <c r="D17" s="4"/>
      <c r="E17" s="4"/>
      <c r="F17" s="4"/>
    </row>
    <row r="18" spans="1:6" x14ac:dyDescent="0.25">
      <c r="A18" s="2">
        <v>309741</v>
      </c>
      <c r="B18" s="2">
        <v>243305</v>
      </c>
      <c r="C18" s="3">
        <v>6.1040000000000001</v>
      </c>
      <c r="D18" s="4"/>
      <c r="E18" s="4"/>
      <c r="F18" s="4"/>
    </row>
    <row r="19" spans="1:6" x14ac:dyDescent="0.25">
      <c r="A19" s="2">
        <v>309741</v>
      </c>
      <c r="B19" s="2">
        <v>243305</v>
      </c>
      <c r="C19" s="3">
        <v>6.3479000000000001</v>
      </c>
      <c r="D19" s="4"/>
      <c r="E19" s="4"/>
      <c r="F19" s="4"/>
    </row>
    <row r="20" spans="1:6" x14ac:dyDescent="0.25">
      <c r="A20" s="2">
        <v>309833</v>
      </c>
      <c r="B20" s="2">
        <v>243261</v>
      </c>
      <c r="C20" s="3">
        <v>6.1029999999999998</v>
      </c>
      <c r="D20" s="4"/>
      <c r="E20" s="4"/>
      <c r="F20" s="4"/>
    </row>
    <row r="21" spans="1:6" x14ac:dyDescent="0.25">
      <c r="A21" s="2">
        <v>309833</v>
      </c>
      <c r="B21" s="2">
        <v>243261</v>
      </c>
      <c r="C21" s="3">
        <v>7.3198999999999996</v>
      </c>
      <c r="D21" s="4"/>
      <c r="E21" s="4"/>
      <c r="F21" s="4"/>
    </row>
    <row r="22" spans="1:6" x14ac:dyDescent="0.25">
      <c r="A22" s="2">
        <v>309833</v>
      </c>
      <c r="B22" s="2">
        <v>243261</v>
      </c>
      <c r="C22" s="3">
        <v>6</v>
      </c>
      <c r="D22" s="4"/>
      <c r="E22" s="4"/>
      <c r="F22" s="4"/>
    </row>
    <row r="23" spans="1:6" x14ac:dyDescent="0.25">
      <c r="A23" s="2">
        <v>309833</v>
      </c>
      <c r="B23" s="2">
        <v>243261</v>
      </c>
      <c r="C23" s="3">
        <v>6.2060000000000004</v>
      </c>
      <c r="D23" s="4"/>
      <c r="E23" s="4"/>
      <c r="F23" s="4"/>
    </row>
    <row r="24" spans="1:6" x14ac:dyDescent="0.25">
      <c r="A24" s="2">
        <v>309833</v>
      </c>
      <c r="B24" s="2">
        <v>243261</v>
      </c>
      <c r="C24" s="3">
        <v>6.1870000000000003</v>
      </c>
      <c r="D24" s="4"/>
      <c r="E24" s="4"/>
      <c r="F24" s="4"/>
    </row>
    <row r="25" spans="1:6" x14ac:dyDescent="0.25">
      <c r="A25" s="2">
        <v>309833</v>
      </c>
      <c r="B25" s="2">
        <v>243261</v>
      </c>
      <c r="C25" s="3">
        <v>7.5869999999999997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8" t="s">
        <v>21</v>
      </c>
      <c r="B27" s="38"/>
      <c r="C27" s="38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SUBTOTAL(101,insertion20[comparações])</f>
        <v>90025660.200000003</v>
      </c>
      <c r="E28" s="5">
        <f>SUBTOTAL(101,insertion20[trocas])</f>
        <v>90025660.200000003</v>
      </c>
      <c r="F28" s="5">
        <f>SUBTOTAL(101,insertion20[tempo (ms)])</f>
        <v>814.79431</v>
      </c>
    </row>
    <row r="29" spans="1:6" x14ac:dyDescent="0.25">
      <c r="A29" s="2">
        <v>90025041</v>
      </c>
      <c r="B29" s="2">
        <v>90025041</v>
      </c>
      <c r="C29" s="3">
        <v>832.15409999999997</v>
      </c>
      <c r="D29" s="4"/>
      <c r="E29" s="4"/>
      <c r="F29" s="4"/>
    </row>
    <row r="30" spans="1:6" x14ac:dyDescent="0.25">
      <c r="A30" s="2">
        <v>89863769</v>
      </c>
      <c r="B30" s="2">
        <v>89863769</v>
      </c>
      <c r="C30" s="3">
        <v>810.13800000000003</v>
      </c>
      <c r="D30" s="4"/>
      <c r="E30" s="4"/>
      <c r="F30" s="4"/>
    </row>
    <row r="31" spans="1:6" x14ac:dyDescent="0.25">
      <c r="A31" s="2">
        <v>90379697</v>
      </c>
      <c r="B31" s="2">
        <v>90379697</v>
      </c>
      <c r="C31" s="3">
        <v>816.31209999999999</v>
      </c>
      <c r="D31" s="4"/>
      <c r="E31" s="4"/>
      <c r="F31" s="4"/>
    </row>
    <row r="32" spans="1:6" x14ac:dyDescent="0.25">
      <c r="A32" s="2">
        <v>89616689</v>
      </c>
      <c r="B32" s="2">
        <v>89616689</v>
      </c>
      <c r="C32" s="3">
        <v>807.17110000000002</v>
      </c>
      <c r="D32" s="4"/>
      <c r="E32" s="4"/>
      <c r="F32" s="4"/>
    </row>
    <row r="33" spans="1:6" x14ac:dyDescent="0.25">
      <c r="A33" s="2">
        <v>90229258</v>
      </c>
      <c r="B33" s="2">
        <v>90229258</v>
      </c>
      <c r="C33" s="3">
        <v>815.09280000000001</v>
      </c>
      <c r="D33" s="4"/>
      <c r="E33" s="4"/>
      <c r="F33" s="4"/>
    </row>
    <row r="34" spans="1:6" x14ac:dyDescent="0.25">
      <c r="A34" s="2">
        <v>90707511</v>
      </c>
      <c r="B34" s="2">
        <v>90707511</v>
      </c>
      <c r="C34" s="3">
        <v>822.61080000000004</v>
      </c>
      <c r="D34" s="4"/>
      <c r="E34" s="4"/>
      <c r="F34" s="4"/>
    </row>
    <row r="35" spans="1:6" x14ac:dyDescent="0.25">
      <c r="A35" s="2">
        <v>89983388</v>
      </c>
      <c r="B35" s="2">
        <v>89983388</v>
      </c>
      <c r="C35" s="3">
        <v>813.94410000000005</v>
      </c>
      <c r="D35" s="4"/>
      <c r="E35" s="4"/>
      <c r="F35" s="4"/>
    </row>
    <row r="36" spans="1:6" x14ac:dyDescent="0.25">
      <c r="A36" s="2">
        <v>89526035</v>
      </c>
      <c r="B36" s="2">
        <v>89526035</v>
      </c>
      <c r="C36" s="3">
        <v>805.20820000000003</v>
      </c>
      <c r="D36" s="4"/>
      <c r="E36" s="4"/>
      <c r="F36" s="4"/>
    </row>
    <row r="37" spans="1:6" x14ac:dyDescent="0.25">
      <c r="A37" s="2">
        <v>90371138</v>
      </c>
      <c r="B37" s="2">
        <v>90371138</v>
      </c>
      <c r="C37" s="3">
        <v>816.4008</v>
      </c>
      <c r="D37" s="4"/>
      <c r="E37" s="4"/>
      <c r="F37" s="4"/>
    </row>
    <row r="38" spans="1:6" x14ac:dyDescent="0.25">
      <c r="A38" s="2">
        <v>89554076</v>
      </c>
      <c r="B38" s="2">
        <v>89554076</v>
      </c>
      <c r="C38" s="3">
        <v>808.91110000000003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rgb="FF00B0F0"/>
  </sheetPr>
  <dimension ref="A1:F39"/>
  <sheetViews>
    <sheetView zoomScaleNormal="100" workbookViewId="0">
      <selection activeCell="I34" sqref="I34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2.85546875" customWidth="1"/>
    <col min="6" max="6" width="12.7109375" customWidth="1"/>
  </cols>
  <sheetData>
    <row r="1" spans="1:6" ht="19.5" thickBot="1" x14ac:dyDescent="0.3">
      <c r="A1" s="38" t="s">
        <v>23</v>
      </c>
      <c r="B1" s="38"/>
      <c r="C1" s="38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SUBTOTAL(101,merge20[comparações])</f>
        <v>252198.5</v>
      </c>
      <c r="E2" s="5">
        <f>SUBTOTAL(101,merge20[trocas])</f>
        <v>252198.5</v>
      </c>
      <c r="F2" s="5">
        <f>SUBTOTAL(101,merge20[tempo (ms)])</f>
        <v>4.6753799999999996</v>
      </c>
    </row>
    <row r="3" spans="1:6" x14ac:dyDescent="0.25">
      <c r="A3" s="2">
        <v>251803</v>
      </c>
      <c r="B3" s="2">
        <v>251803</v>
      </c>
      <c r="C3" s="3">
        <v>4.3060999999999998</v>
      </c>
      <c r="D3" s="4"/>
      <c r="E3" s="4"/>
      <c r="F3" s="4"/>
    </row>
    <row r="4" spans="1:6" x14ac:dyDescent="0.25">
      <c r="A4" s="2">
        <v>252265</v>
      </c>
      <c r="B4" s="2">
        <v>252265</v>
      </c>
      <c r="C4" s="3">
        <v>4.2961</v>
      </c>
      <c r="D4" s="4"/>
      <c r="E4" s="4"/>
      <c r="F4" s="4"/>
    </row>
    <row r="5" spans="1:6" x14ac:dyDescent="0.25">
      <c r="A5" s="2">
        <v>252265</v>
      </c>
      <c r="B5" s="2">
        <v>252265</v>
      </c>
      <c r="C5" s="3">
        <v>4.3230000000000004</v>
      </c>
      <c r="D5" s="4"/>
      <c r="E5" s="4"/>
      <c r="F5" s="4"/>
    </row>
    <row r="6" spans="1:6" x14ac:dyDescent="0.25">
      <c r="A6" s="2">
        <v>252265</v>
      </c>
      <c r="B6" s="2">
        <v>252265</v>
      </c>
      <c r="C6" s="3">
        <v>5.6870000000000003</v>
      </c>
      <c r="D6" s="4"/>
      <c r="E6" s="4"/>
      <c r="F6" s="4"/>
    </row>
    <row r="7" spans="1:6" x14ac:dyDescent="0.25">
      <c r="A7" s="2">
        <v>252265</v>
      </c>
      <c r="B7" s="2">
        <v>252265</v>
      </c>
      <c r="C7" s="3">
        <v>5.3438999999999997</v>
      </c>
      <c r="D7" s="4"/>
      <c r="E7" s="4"/>
      <c r="F7" s="4"/>
    </row>
    <row r="8" spans="1:6" x14ac:dyDescent="0.25">
      <c r="A8" s="2">
        <v>252265</v>
      </c>
      <c r="B8" s="2">
        <v>252265</v>
      </c>
      <c r="C8" s="3">
        <v>4.2229000000000001</v>
      </c>
      <c r="D8" s="4"/>
      <c r="E8" s="4"/>
      <c r="F8" s="4"/>
    </row>
    <row r="9" spans="1:6" x14ac:dyDescent="0.25">
      <c r="A9" s="2">
        <v>252265</v>
      </c>
      <c r="B9" s="2">
        <v>252265</v>
      </c>
      <c r="C9" s="3">
        <v>4.53</v>
      </c>
      <c r="D9" s="4"/>
      <c r="E9" s="4"/>
      <c r="F9" s="4"/>
    </row>
    <row r="10" spans="1:6" x14ac:dyDescent="0.25">
      <c r="A10" s="2">
        <v>252265</v>
      </c>
      <c r="B10" s="2">
        <v>252265</v>
      </c>
      <c r="C10" s="3">
        <v>4.2129000000000003</v>
      </c>
      <c r="D10" s="4"/>
      <c r="E10" s="4"/>
      <c r="F10" s="4"/>
    </row>
    <row r="11" spans="1:6" x14ac:dyDescent="0.25">
      <c r="A11" s="2">
        <v>252265</v>
      </c>
      <c r="B11" s="2">
        <v>252265</v>
      </c>
      <c r="C11" s="3">
        <v>4.2538999999999998</v>
      </c>
      <c r="D11" s="4"/>
      <c r="E11" s="4"/>
      <c r="F11" s="4"/>
    </row>
    <row r="12" spans="1:6" x14ac:dyDescent="0.25">
      <c r="A12" s="2">
        <v>252062</v>
      </c>
      <c r="B12" s="2">
        <v>252062</v>
      </c>
      <c r="C12" s="3">
        <v>5.5780000000000003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8" t="s">
        <v>24</v>
      </c>
      <c r="B14" s="38"/>
      <c r="C14" s="38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SUBTOTAL(101,quick20[comparações])</f>
        <v>51680.7</v>
      </c>
      <c r="E15" s="5">
        <f>SUBTOTAL(101,quick20[trocas])</f>
        <v>119600.2</v>
      </c>
      <c r="F15" s="5">
        <f>SUBTOTAL(101,quick20[tempo (ms)])</f>
        <v>2.0969100000000003</v>
      </c>
    </row>
    <row r="16" spans="1:6" x14ac:dyDescent="0.25">
      <c r="A16" s="2">
        <v>50014</v>
      </c>
      <c r="B16" s="2">
        <v>120331</v>
      </c>
      <c r="C16" s="3">
        <v>2.0861999999999998</v>
      </c>
      <c r="D16" s="4"/>
      <c r="E16" s="4"/>
      <c r="F16" s="4"/>
    </row>
    <row r="17" spans="1:6" x14ac:dyDescent="0.25">
      <c r="A17" s="2">
        <v>50014</v>
      </c>
      <c r="B17" s="2">
        <v>120331</v>
      </c>
      <c r="C17" s="3">
        <v>2.1191</v>
      </c>
      <c r="D17" s="4"/>
      <c r="E17" s="4"/>
      <c r="F17" s="4"/>
    </row>
    <row r="18" spans="1:6" x14ac:dyDescent="0.25">
      <c r="A18" s="2">
        <v>50014</v>
      </c>
      <c r="B18" s="2">
        <v>120331</v>
      </c>
      <c r="C18" s="3">
        <v>2.0901999999999998</v>
      </c>
      <c r="D18" s="4"/>
      <c r="E18" s="4"/>
      <c r="F18" s="4"/>
    </row>
    <row r="19" spans="1:6" x14ac:dyDescent="0.25">
      <c r="A19" s="2">
        <v>52395</v>
      </c>
      <c r="B19" s="2">
        <v>119287</v>
      </c>
      <c r="C19" s="3">
        <v>2.0752000000000002</v>
      </c>
      <c r="D19" s="4"/>
      <c r="E19" s="4"/>
      <c r="F19" s="4"/>
    </row>
    <row r="20" spans="1:6" x14ac:dyDescent="0.25">
      <c r="A20" s="2">
        <v>52395</v>
      </c>
      <c r="B20" s="2">
        <v>119287</v>
      </c>
      <c r="C20" s="3">
        <v>2.0958999999999999</v>
      </c>
      <c r="D20" s="4"/>
      <c r="E20" s="4"/>
      <c r="F20" s="4"/>
    </row>
    <row r="21" spans="1:6" x14ac:dyDescent="0.25">
      <c r="A21" s="2">
        <v>52395</v>
      </c>
      <c r="B21" s="2">
        <v>119287</v>
      </c>
      <c r="C21" s="3">
        <v>2.1112000000000002</v>
      </c>
      <c r="D21" s="4"/>
      <c r="E21" s="4"/>
      <c r="F21" s="4"/>
    </row>
    <row r="22" spans="1:6" x14ac:dyDescent="0.25">
      <c r="A22" s="2">
        <v>52395</v>
      </c>
      <c r="B22" s="2">
        <v>119287</v>
      </c>
      <c r="C22" s="3">
        <v>2.1191</v>
      </c>
      <c r="D22" s="4"/>
      <c r="E22" s="4"/>
      <c r="F22" s="4"/>
    </row>
    <row r="23" spans="1:6" x14ac:dyDescent="0.25">
      <c r="A23" s="2">
        <v>52395</v>
      </c>
      <c r="B23" s="2">
        <v>119287</v>
      </c>
      <c r="C23" s="3">
        <v>2.0699999999999998</v>
      </c>
      <c r="D23" s="4"/>
      <c r="E23" s="4"/>
      <c r="F23" s="4"/>
    </row>
    <row r="24" spans="1:6" x14ac:dyDescent="0.25">
      <c r="A24" s="2">
        <v>52395</v>
      </c>
      <c r="B24" s="2">
        <v>119287</v>
      </c>
      <c r="C24" s="3">
        <v>2.0931000000000002</v>
      </c>
      <c r="D24" s="4"/>
      <c r="E24" s="4"/>
      <c r="F24" s="4"/>
    </row>
    <row r="25" spans="1:6" x14ac:dyDescent="0.25">
      <c r="A25" s="2">
        <v>52395</v>
      </c>
      <c r="B25" s="2">
        <v>119287</v>
      </c>
      <c r="C25" s="3">
        <v>2.1091000000000002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8" t="s">
        <v>25</v>
      </c>
      <c r="B27" s="38"/>
      <c r="C27" s="38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SUBTOTAL(101,selection20[comparações])</f>
        <v>38592.300000000003</v>
      </c>
      <c r="E28" s="5">
        <f>SUBTOTAL(101,selection20[trocas])</f>
        <v>17978.400000000001</v>
      </c>
      <c r="F28" s="5">
        <f>SUBTOTAL(101,selection20[tempo (ms)])</f>
        <v>430.28166999999996</v>
      </c>
    </row>
    <row r="29" spans="1:6" x14ac:dyDescent="0.25">
      <c r="A29" s="2">
        <v>38684</v>
      </c>
      <c r="B29" s="2">
        <v>17997</v>
      </c>
      <c r="C29" s="3">
        <v>435.34609999999998</v>
      </c>
      <c r="D29" s="4"/>
      <c r="E29" s="4"/>
      <c r="F29" s="4"/>
    </row>
    <row r="30" spans="1:6" x14ac:dyDescent="0.25">
      <c r="A30" s="2">
        <v>38684</v>
      </c>
      <c r="B30" s="2">
        <v>17997</v>
      </c>
      <c r="C30" s="3">
        <v>439.36900000000003</v>
      </c>
      <c r="D30" s="4"/>
      <c r="E30" s="4"/>
      <c r="F30" s="4"/>
    </row>
    <row r="31" spans="1:6" x14ac:dyDescent="0.25">
      <c r="A31" s="2">
        <v>38578</v>
      </c>
      <c r="B31" s="2">
        <v>17933</v>
      </c>
      <c r="C31" s="3">
        <v>424.98399999999998</v>
      </c>
      <c r="D31" s="4"/>
      <c r="E31" s="4"/>
      <c r="F31" s="4"/>
    </row>
    <row r="32" spans="1:6" x14ac:dyDescent="0.25">
      <c r="A32" s="2">
        <v>38578</v>
      </c>
      <c r="B32" s="2">
        <v>17933</v>
      </c>
      <c r="C32" s="3">
        <v>428.62889999999999</v>
      </c>
      <c r="D32" s="4"/>
      <c r="E32" s="4"/>
      <c r="F32" s="4"/>
    </row>
    <row r="33" spans="1:6" x14ac:dyDescent="0.25">
      <c r="A33" s="2">
        <v>38419</v>
      </c>
      <c r="B33" s="2">
        <v>17971</v>
      </c>
      <c r="C33" s="3">
        <v>436.4939</v>
      </c>
      <c r="D33" s="4"/>
      <c r="E33" s="4"/>
      <c r="F33" s="4"/>
    </row>
    <row r="34" spans="1:6" x14ac:dyDescent="0.25">
      <c r="A34" s="2">
        <v>38419</v>
      </c>
      <c r="B34" s="2">
        <v>17971</v>
      </c>
      <c r="C34" s="3">
        <v>427.64780000000002</v>
      </c>
      <c r="D34" s="4"/>
      <c r="E34" s="4"/>
      <c r="F34" s="4"/>
    </row>
    <row r="35" spans="1:6" x14ac:dyDescent="0.25">
      <c r="A35" s="2">
        <v>38720</v>
      </c>
      <c r="B35" s="2">
        <v>17983</v>
      </c>
      <c r="C35" s="3">
        <v>427.76900000000001</v>
      </c>
      <c r="D35" s="4"/>
      <c r="E35" s="4"/>
      <c r="F35" s="4"/>
    </row>
    <row r="36" spans="1:6" x14ac:dyDescent="0.25">
      <c r="A36" s="2">
        <v>38720</v>
      </c>
      <c r="B36" s="2">
        <v>17983</v>
      </c>
      <c r="C36" s="3">
        <v>428.10489999999999</v>
      </c>
      <c r="D36" s="4"/>
      <c r="E36" s="4"/>
      <c r="F36" s="4"/>
    </row>
    <row r="37" spans="1:6" x14ac:dyDescent="0.25">
      <c r="A37" s="2">
        <v>38558</v>
      </c>
      <c r="B37" s="2">
        <v>17996</v>
      </c>
      <c r="C37" s="3">
        <v>425.52519999999998</v>
      </c>
      <c r="D37" s="4"/>
      <c r="E37" s="4"/>
      <c r="F37" s="4"/>
    </row>
    <row r="38" spans="1:6" x14ac:dyDescent="0.25">
      <c r="A38" s="2">
        <v>38563</v>
      </c>
      <c r="B38" s="2">
        <v>18020</v>
      </c>
      <c r="C38" s="3">
        <v>428.9479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rgb="FF00B0F0"/>
  </sheetPr>
  <dimension ref="A1:F39"/>
  <sheetViews>
    <sheetView zoomScaleNormal="100" workbookViewId="0">
      <selection activeCell="E26" sqref="E26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5.7109375" customWidth="1"/>
    <col min="6" max="6" width="12.7109375" customWidth="1"/>
  </cols>
  <sheetData>
    <row r="1" spans="1:6" ht="19.5" thickBot="1" x14ac:dyDescent="0.3">
      <c r="A1" s="38" t="s">
        <v>17</v>
      </c>
      <c r="B1" s="38"/>
      <c r="C1" s="38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SUBTOTAL(101,bubble50_[comparações])</f>
        <v>561640393.39999998</v>
      </c>
      <c r="E2" s="5">
        <f>SUBTOTAL(101,bubble50_[trocas])</f>
        <v>561640393.39999998</v>
      </c>
      <c r="F2" s="5">
        <f>SUBTOTAL(101,bubble50_[tempo (ms)])</f>
        <v>11710.047569999999</v>
      </c>
    </row>
    <row r="3" spans="1:6" x14ac:dyDescent="0.25">
      <c r="A3" s="2">
        <v>559661284</v>
      </c>
      <c r="B3" s="2">
        <v>559661284</v>
      </c>
      <c r="C3" s="3">
        <v>11858.232400000001</v>
      </c>
      <c r="D3" s="4"/>
      <c r="E3" s="4"/>
      <c r="F3" s="4"/>
    </row>
    <row r="4" spans="1:6" x14ac:dyDescent="0.25">
      <c r="A4" s="2">
        <v>560993057</v>
      </c>
      <c r="B4" s="2">
        <v>560993057</v>
      </c>
      <c r="C4" s="3">
        <v>11747.272499999999</v>
      </c>
      <c r="D4" s="4"/>
      <c r="E4" s="4"/>
      <c r="F4" s="4"/>
    </row>
    <row r="5" spans="1:6" x14ac:dyDescent="0.25">
      <c r="A5" s="2">
        <v>561711108</v>
      </c>
      <c r="B5" s="2">
        <v>561711108</v>
      </c>
      <c r="C5" s="3">
        <v>11730.218800000001</v>
      </c>
      <c r="D5" s="4"/>
      <c r="E5" s="4"/>
      <c r="F5" s="4"/>
    </row>
    <row r="6" spans="1:6" x14ac:dyDescent="0.25">
      <c r="A6" s="2">
        <v>563259524</v>
      </c>
      <c r="B6" s="2">
        <v>563259524</v>
      </c>
      <c r="C6" s="3">
        <v>11711.757799999999</v>
      </c>
      <c r="D6" s="4"/>
      <c r="E6" s="4"/>
      <c r="F6" s="4"/>
    </row>
    <row r="7" spans="1:6" x14ac:dyDescent="0.25">
      <c r="A7" s="2">
        <v>559143570</v>
      </c>
      <c r="B7" s="2">
        <v>559143570</v>
      </c>
      <c r="C7" s="3">
        <v>11617.626</v>
      </c>
      <c r="D7" s="4"/>
      <c r="E7" s="4"/>
      <c r="F7" s="4"/>
    </row>
    <row r="8" spans="1:6" x14ac:dyDescent="0.25">
      <c r="A8" s="2">
        <v>562235537</v>
      </c>
      <c r="B8" s="2">
        <v>562235537</v>
      </c>
      <c r="C8" s="3">
        <v>11730.020500000001</v>
      </c>
      <c r="D8" s="4"/>
      <c r="E8" s="4"/>
      <c r="F8" s="4"/>
    </row>
    <row r="9" spans="1:6" x14ac:dyDescent="0.25">
      <c r="A9" s="2">
        <v>562025433</v>
      </c>
      <c r="B9" s="2">
        <v>562025433</v>
      </c>
      <c r="C9" s="3">
        <v>11597.421899999999</v>
      </c>
      <c r="D9" s="4"/>
      <c r="E9" s="4"/>
      <c r="F9" s="4"/>
    </row>
    <row r="10" spans="1:6" x14ac:dyDescent="0.25">
      <c r="A10" s="2">
        <v>562058242</v>
      </c>
      <c r="B10" s="2">
        <v>562058242</v>
      </c>
      <c r="C10" s="3">
        <v>11703.3613</v>
      </c>
      <c r="D10" s="4"/>
      <c r="E10" s="4"/>
      <c r="F10" s="4"/>
    </row>
    <row r="11" spans="1:6" x14ac:dyDescent="0.25">
      <c r="A11" s="2">
        <v>560893792</v>
      </c>
      <c r="B11" s="2">
        <v>560893792</v>
      </c>
      <c r="C11" s="3">
        <v>11802.7266</v>
      </c>
      <c r="D11" s="4"/>
      <c r="E11" s="4"/>
      <c r="F11" s="4"/>
    </row>
    <row r="12" spans="1:6" x14ac:dyDescent="0.25">
      <c r="A12" s="2">
        <v>564422387</v>
      </c>
      <c r="B12" s="2">
        <v>564422387</v>
      </c>
      <c r="C12" s="3">
        <v>11601.8379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8" t="s">
        <v>20</v>
      </c>
      <c r="B14" s="38"/>
      <c r="C14" s="38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SUBTOTAL(101,heap50[comparações])</f>
        <v>856878</v>
      </c>
      <c r="E15" s="5">
        <f>SUBTOTAL(101,heap50[trocas])</f>
        <v>665041</v>
      </c>
      <c r="F15" s="5">
        <f>SUBTOTAL(101,heap50[tempo (ms)])</f>
        <v>17.996259999999999</v>
      </c>
    </row>
    <row r="16" spans="1:6" x14ac:dyDescent="0.25">
      <c r="A16" s="2">
        <v>856082</v>
      </c>
      <c r="B16" s="2">
        <v>664417</v>
      </c>
      <c r="C16" s="3">
        <v>16.913900000000002</v>
      </c>
      <c r="D16" s="4"/>
      <c r="E16" s="4"/>
      <c r="F16" s="4"/>
    </row>
    <row r="17" spans="1:6" x14ac:dyDescent="0.25">
      <c r="A17" s="2">
        <v>856082</v>
      </c>
      <c r="B17" s="2">
        <v>664417</v>
      </c>
      <c r="C17" s="3">
        <v>19.847200000000001</v>
      </c>
      <c r="D17" s="4"/>
      <c r="E17" s="4"/>
      <c r="F17" s="4"/>
    </row>
    <row r="18" spans="1:6" x14ac:dyDescent="0.25">
      <c r="A18" s="2">
        <v>856082</v>
      </c>
      <c r="B18" s="2">
        <v>664417</v>
      </c>
      <c r="C18" s="3">
        <v>18.675999999999998</v>
      </c>
      <c r="D18" s="4"/>
      <c r="E18" s="4"/>
      <c r="F18" s="4"/>
    </row>
    <row r="19" spans="1:6" x14ac:dyDescent="0.25">
      <c r="A19" s="2">
        <v>856082</v>
      </c>
      <c r="B19" s="2">
        <v>664417</v>
      </c>
      <c r="C19" s="3">
        <v>19.7818</v>
      </c>
      <c r="D19" s="4"/>
      <c r="E19" s="4"/>
      <c r="F19" s="4"/>
    </row>
    <row r="20" spans="1:6" x14ac:dyDescent="0.25">
      <c r="A20" s="2">
        <v>856082</v>
      </c>
      <c r="B20" s="2">
        <v>664417</v>
      </c>
      <c r="C20" s="3">
        <v>18.834099999999999</v>
      </c>
      <c r="D20" s="4"/>
      <c r="E20" s="4"/>
      <c r="F20" s="4"/>
    </row>
    <row r="21" spans="1:6" x14ac:dyDescent="0.25">
      <c r="A21" s="2">
        <v>857674</v>
      </c>
      <c r="B21" s="2">
        <v>665665</v>
      </c>
      <c r="C21" s="3">
        <v>18.590900000000001</v>
      </c>
      <c r="D21" s="4"/>
      <c r="E21" s="4"/>
      <c r="F21" s="4"/>
    </row>
    <row r="22" spans="1:6" x14ac:dyDescent="0.25">
      <c r="A22" s="2">
        <v>857674</v>
      </c>
      <c r="B22" s="2">
        <v>665665</v>
      </c>
      <c r="C22" s="3">
        <v>16.879100000000001</v>
      </c>
      <c r="D22" s="4"/>
      <c r="E22" s="4"/>
      <c r="F22" s="4"/>
    </row>
    <row r="23" spans="1:6" x14ac:dyDescent="0.25">
      <c r="A23" s="2">
        <v>857674</v>
      </c>
      <c r="B23" s="2">
        <v>665665</v>
      </c>
      <c r="C23" s="3">
        <v>16.864799999999999</v>
      </c>
      <c r="D23" s="4"/>
      <c r="E23" s="4"/>
      <c r="F23" s="4"/>
    </row>
    <row r="24" spans="1:6" x14ac:dyDescent="0.25">
      <c r="A24" s="2">
        <v>857674</v>
      </c>
      <c r="B24" s="2">
        <v>665665</v>
      </c>
      <c r="C24" s="3">
        <v>16.7959</v>
      </c>
      <c r="D24" s="4"/>
      <c r="E24" s="4"/>
      <c r="F24" s="4"/>
    </row>
    <row r="25" spans="1:6" x14ac:dyDescent="0.25">
      <c r="A25" s="2">
        <v>857674</v>
      </c>
      <c r="B25" s="2">
        <v>665665</v>
      </c>
      <c r="C25" s="3">
        <v>16.7789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8" t="s">
        <v>21</v>
      </c>
      <c r="B27" s="38"/>
      <c r="C27" s="38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SUBTOTAL(101,insertion50[comparações])</f>
        <v>561655771.89999998</v>
      </c>
      <c r="E28" s="5">
        <f>SUBTOTAL(101,insertion50[trocas])</f>
        <v>561655771.89999998</v>
      </c>
      <c r="F28" s="5">
        <f>SUBTOTAL(101,insertion50[tempo (ms)])</f>
        <v>5044.3493499999995</v>
      </c>
    </row>
    <row r="29" spans="1:6" x14ac:dyDescent="0.25">
      <c r="A29" s="2">
        <v>561026151</v>
      </c>
      <c r="B29" s="2">
        <v>561026151</v>
      </c>
      <c r="C29" s="3">
        <v>5141.0239000000001</v>
      </c>
      <c r="D29" s="4"/>
      <c r="E29" s="4"/>
      <c r="F29" s="4"/>
    </row>
    <row r="30" spans="1:6" x14ac:dyDescent="0.25">
      <c r="A30" s="2">
        <v>563173762</v>
      </c>
      <c r="B30" s="2">
        <v>563173762</v>
      </c>
      <c r="C30" s="3">
        <v>5147.4258</v>
      </c>
      <c r="D30" s="4"/>
      <c r="E30" s="4"/>
      <c r="F30" s="4"/>
    </row>
    <row r="31" spans="1:6" x14ac:dyDescent="0.25">
      <c r="A31" s="2">
        <v>560518678</v>
      </c>
      <c r="B31" s="2">
        <v>560518678</v>
      </c>
      <c r="C31" s="3">
        <v>5034.7788</v>
      </c>
      <c r="D31" s="4"/>
      <c r="E31" s="4"/>
      <c r="F31" s="4"/>
    </row>
    <row r="32" spans="1:6" x14ac:dyDescent="0.25">
      <c r="A32" s="2">
        <v>563556844</v>
      </c>
      <c r="B32" s="2">
        <v>563556844</v>
      </c>
      <c r="C32" s="3">
        <v>5048.8407999999999</v>
      </c>
      <c r="D32" s="4"/>
      <c r="E32" s="4"/>
      <c r="F32" s="4"/>
    </row>
    <row r="33" spans="1:6" x14ac:dyDescent="0.25">
      <c r="A33" s="2">
        <v>562889487</v>
      </c>
      <c r="B33" s="2">
        <v>562889487</v>
      </c>
      <c r="C33" s="3">
        <v>5000.7655999999997</v>
      </c>
      <c r="D33" s="4"/>
      <c r="E33" s="4"/>
      <c r="F33" s="4"/>
    </row>
    <row r="34" spans="1:6" x14ac:dyDescent="0.25">
      <c r="A34" s="2">
        <v>562527803</v>
      </c>
      <c r="B34" s="2">
        <v>562527803</v>
      </c>
      <c r="C34" s="3">
        <v>5002.5155999999997</v>
      </c>
      <c r="D34" s="4"/>
      <c r="E34" s="4"/>
      <c r="F34" s="4"/>
    </row>
    <row r="35" spans="1:6" x14ac:dyDescent="0.25">
      <c r="A35" s="2">
        <v>561382945</v>
      </c>
      <c r="B35" s="2">
        <v>561382945</v>
      </c>
      <c r="C35" s="3">
        <v>5019.8252000000002</v>
      </c>
      <c r="D35" s="4"/>
      <c r="E35" s="4"/>
      <c r="F35" s="4"/>
    </row>
    <row r="36" spans="1:6" x14ac:dyDescent="0.25">
      <c r="A36" s="2">
        <v>562049521</v>
      </c>
      <c r="B36" s="2">
        <v>562049521</v>
      </c>
      <c r="C36" s="3">
        <v>5039.4858000000004</v>
      </c>
      <c r="D36" s="4"/>
      <c r="E36" s="4"/>
      <c r="F36" s="4"/>
    </row>
    <row r="37" spans="1:6" x14ac:dyDescent="0.25">
      <c r="A37" s="2">
        <v>559297359</v>
      </c>
      <c r="B37" s="2">
        <v>559297359</v>
      </c>
      <c r="C37" s="3">
        <v>5003.1117999999997</v>
      </c>
      <c r="D37" s="4"/>
      <c r="E37" s="4"/>
      <c r="F37" s="4"/>
    </row>
    <row r="38" spans="1:6" x14ac:dyDescent="0.25">
      <c r="A38" s="2">
        <v>560135169</v>
      </c>
      <c r="B38" s="2">
        <v>560135169</v>
      </c>
      <c r="C38" s="3">
        <v>5005.7201999999997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>
    <tabColor rgb="FF00B0F0"/>
  </sheetPr>
  <dimension ref="A1:F39"/>
  <sheetViews>
    <sheetView zoomScaleNormal="100" workbookViewId="0">
      <selection activeCell="E28" sqref="E28"/>
    </sheetView>
  </sheetViews>
  <sheetFormatPr defaultRowHeight="15" x14ac:dyDescent="0.25"/>
  <cols>
    <col min="1" max="1" width="16.28515625" customWidth="1"/>
    <col min="2" max="2" width="11.28515625" customWidth="1"/>
    <col min="3" max="3" width="12.7109375" customWidth="1"/>
    <col min="4" max="5" width="15.7109375" customWidth="1"/>
    <col min="6" max="6" width="12.7109375" customWidth="1"/>
  </cols>
  <sheetData>
    <row r="1" spans="1:6" ht="19.5" thickBot="1" x14ac:dyDescent="0.3">
      <c r="A1" s="38" t="s">
        <v>23</v>
      </c>
      <c r="B1" s="38"/>
      <c r="C1" s="38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SUBTOTAL(101,merge50[comparações])</f>
        <v>692427.4</v>
      </c>
      <c r="E2" s="5">
        <f>SUBTOTAL(101,merge50[trocas])</f>
        <v>692427.4</v>
      </c>
      <c r="F2" s="5">
        <f>SUBTOTAL(101,merge50[tempo (ms)])</f>
        <v>12.256310000000003</v>
      </c>
    </row>
    <row r="3" spans="1:6" x14ac:dyDescent="0.25">
      <c r="A3" s="2">
        <v>692357</v>
      </c>
      <c r="B3" s="2">
        <v>692357</v>
      </c>
      <c r="C3" s="3">
        <v>12.638999999999999</v>
      </c>
      <c r="D3" s="4"/>
      <c r="E3" s="4"/>
      <c r="F3" s="4"/>
    </row>
    <row r="4" spans="1:6" x14ac:dyDescent="0.25">
      <c r="A4" s="2">
        <v>692357</v>
      </c>
      <c r="B4" s="2">
        <v>692357</v>
      </c>
      <c r="C4" s="3">
        <v>12.8088</v>
      </c>
      <c r="D4" s="4"/>
      <c r="E4" s="4"/>
      <c r="F4" s="4"/>
    </row>
    <row r="5" spans="1:6" x14ac:dyDescent="0.25">
      <c r="A5" s="2">
        <v>692445</v>
      </c>
      <c r="B5" s="2">
        <v>692445</v>
      </c>
      <c r="C5" s="3">
        <v>11.7841</v>
      </c>
      <c r="D5" s="4"/>
      <c r="E5" s="4"/>
      <c r="F5" s="4"/>
    </row>
    <row r="6" spans="1:6" x14ac:dyDescent="0.25">
      <c r="A6" s="2">
        <v>692445</v>
      </c>
      <c r="B6" s="2">
        <v>692445</v>
      </c>
      <c r="C6" s="3">
        <v>13.823</v>
      </c>
      <c r="D6" s="4"/>
      <c r="E6" s="4"/>
      <c r="F6" s="4"/>
    </row>
    <row r="7" spans="1:6" x14ac:dyDescent="0.25">
      <c r="A7" s="2">
        <v>692445</v>
      </c>
      <c r="B7" s="2">
        <v>692445</v>
      </c>
      <c r="C7" s="3">
        <v>12.257099999999999</v>
      </c>
      <c r="D7" s="4"/>
      <c r="E7" s="4"/>
      <c r="F7" s="4"/>
    </row>
    <row r="8" spans="1:6" x14ac:dyDescent="0.25">
      <c r="A8" s="2">
        <v>692445</v>
      </c>
      <c r="B8" s="2">
        <v>692445</v>
      </c>
      <c r="C8" s="3">
        <v>11.7049</v>
      </c>
      <c r="D8" s="4"/>
      <c r="E8" s="4"/>
      <c r="F8" s="4"/>
    </row>
    <row r="9" spans="1:6" x14ac:dyDescent="0.25">
      <c r="A9" s="2">
        <v>692445</v>
      </c>
      <c r="B9" s="2">
        <v>692445</v>
      </c>
      <c r="C9" s="3">
        <v>11.819100000000001</v>
      </c>
      <c r="D9" s="4"/>
      <c r="E9" s="4"/>
      <c r="F9" s="4"/>
    </row>
    <row r="10" spans="1:6" x14ac:dyDescent="0.25">
      <c r="A10" s="2">
        <v>692445</v>
      </c>
      <c r="B10" s="2">
        <v>692445</v>
      </c>
      <c r="C10" s="3">
        <v>12.0831</v>
      </c>
      <c r="D10" s="4"/>
      <c r="E10" s="4"/>
      <c r="F10" s="4"/>
    </row>
    <row r="11" spans="1:6" x14ac:dyDescent="0.25">
      <c r="A11" s="2">
        <v>692445</v>
      </c>
      <c r="B11" s="2">
        <v>692445</v>
      </c>
      <c r="C11" s="3">
        <v>11.8301</v>
      </c>
      <c r="D11" s="4"/>
      <c r="E11" s="4"/>
      <c r="F11" s="4"/>
    </row>
    <row r="12" spans="1:6" x14ac:dyDescent="0.25">
      <c r="A12" s="2">
        <v>692445</v>
      </c>
      <c r="B12" s="2">
        <v>692445</v>
      </c>
      <c r="C12" s="3">
        <v>11.8139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8" t="s">
        <v>20</v>
      </c>
      <c r="B14" s="38"/>
      <c r="C14" s="38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SUBTOTAL(101,quick50[comparações])</f>
        <v>156496.29999999999</v>
      </c>
      <c r="E15" s="5">
        <f>SUBTOTAL(101,quick50[trocas])</f>
        <v>330773.5</v>
      </c>
      <c r="F15" s="5">
        <f>SUBTOTAL(101,quick50[tempo (ms)])</f>
        <v>5.7232199999999995</v>
      </c>
    </row>
    <row r="16" spans="1:6" x14ac:dyDescent="0.25">
      <c r="A16" s="2">
        <v>159542</v>
      </c>
      <c r="B16" s="2">
        <v>330637</v>
      </c>
      <c r="C16" s="3">
        <v>6.3220999999999998</v>
      </c>
      <c r="D16" s="4"/>
      <c r="E16" s="4"/>
      <c r="F16" s="4"/>
    </row>
    <row r="17" spans="1:6" x14ac:dyDescent="0.25">
      <c r="A17" s="2">
        <v>159542</v>
      </c>
      <c r="B17" s="2">
        <v>330637</v>
      </c>
      <c r="C17" s="3">
        <v>5.6279000000000003</v>
      </c>
      <c r="D17" s="4"/>
      <c r="E17" s="4"/>
      <c r="F17" s="4"/>
    </row>
    <row r="18" spans="1:6" x14ac:dyDescent="0.25">
      <c r="A18" s="2">
        <v>159542</v>
      </c>
      <c r="B18" s="2">
        <v>330637</v>
      </c>
      <c r="C18" s="3">
        <v>5.7839999999999998</v>
      </c>
      <c r="D18" s="4"/>
      <c r="E18" s="4"/>
      <c r="F18" s="4"/>
    </row>
    <row r="19" spans="1:6" x14ac:dyDescent="0.25">
      <c r="A19" s="2">
        <v>155191</v>
      </c>
      <c r="B19" s="2">
        <v>330832</v>
      </c>
      <c r="C19" s="3">
        <v>6.0510999999999999</v>
      </c>
      <c r="D19" s="4"/>
      <c r="E19" s="4"/>
      <c r="F19" s="4"/>
    </row>
    <row r="20" spans="1:6" x14ac:dyDescent="0.25">
      <c r="A20" s="2">
        <v>155191</v>
      </c>
      <c r="B20" s="2">
        <v>330832</v>
      </c>
      <c r="C20" s="3">
        <v>5.5640000000000001</v>
      </c>
      <c r="D20" s="4"/>
      <c r="E20" s="4"/>
      <c r="F20" s="4"/>
    </row>
    <row r="21" spans="1:6" x14ac:dyDescent="0.25">
      <c r="A21" s="2">
        <v>155191</v>
      </c>
      <c r="B21" s="2">
        <v>330832</v>
      </c>
      <c r="C21" s="3">
        <v>5.5119999999999996</v>
      </c>
      <c r="D21" s="4"/>
      <c r="E21" s="4"/>
      <c r="F21" s="4"/>
    </row>
    <row r="22" spans="1:6" x14ac:dyDescent="0.25">
      <c r="A22" s="2">
        <v>155191</v>
      </c>
      <c r="B22" s="2">
        <v>330832</v>
      </c>
      <c r="C22" s="3">
        <v>5.4901</v>
      </c>
      <c r="D22" s="4"/>
      <c r="E22" s="4"/>
      <c r="F22" s="4"/>
    </row>
    <row r="23" spans="1:6" x14ac:dyDescent="0.25">
      <c r="A23" s="2">
        <v>155191</v>
      </c>
      <c r="B23" s="2">
        <v>330832</v>
      </c>
      <c r="C23" s="3">
        <v>5.5959000000000003</v>
      </c>
      <c r="D23" s="4"/>
      <c r="E23" s="4"/>
      <c r="F23" s="4"/>
    </row>
    <row r="24" spans="1:6" x14ac:dyDescent="0.25">
      <c r="A24" s="2">
        <v>155191</v>
      </c>
      <c r="B24" s="2">
        <v>330832</v>
      </c>
      <c r="C24" s="3">
        <v>5.6769999999999996</v>
      </c>
      <c r="D24" s="4"/>
      <c r="E24" s="4"/>
      <c r="F24" s="4"/>
    </row>
    <row r="25" spans="1:6" x14ac:dyDescent="0.25">
      <c r="A25" s="2">
        <v>155191</v>
      </c>
      <c r="B25" s="2">
        <v>330832</v>
      </c>
      <c r="C25" s="3">
        <v>5.6081000000000003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8" t="s">
        <v>21</v>
      </c>
      <c r="B27" s="38"/>
      <c r="C27" s="38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SUBTOTAL(101,selection50[comparações])</f>
        <v>96472.5</v>
      </c>
      <c r="E28" s="5">
        <f>SUBTOTAL(101,selection50[trocas])</f>
        <v>45021.8</v>
      </c>
      <c r="F28" s="5">
        <f>SUBTOTAL(101,selection50[tempo (ms)])</f>
        <v>2684.2264700000001</v>
      </c>
    </row>
    <row r="29" spans="1:6" x14ac:dyDescent="0.25">
      <c r="A29" s="2">
        <v>96257</v>
      </c>
      <c r="B29" s="2">
        <v>44988</v>
      </c>
      <c r="C29" s="3">
        <v>2666.0180999999998</v>
      </c>
      <c r="D29" s="4"/>
      <c r="E29" s="4"/>
      <c r="F29" s="4"/>
    </row>
    <row r="30" spans="1:6" x14ac:dyDescent="0.25">
      <c r="A30" s="2">
        <v>96945</v>
      </c>
      <c r="B30" s="2">
        <v>45100</v>
      </c>
      <c r="C30" s="3">
        <v>2652.6120999999998</v>
      </c>
      <c r="D30" s="4"/>
      <c r="E30" s="4"/>
      <c r="F30" s="4"/>
    </row>
    <row r="31" spans="1:6" x14ac:dyDescent="0.25">
      <c r="A31" s="2">
        <v>96479</v>
      </c>
      <c r="B31" s="2">
        <v>44995</v>
      </c>
      <c r="C31" s="3">
        <v>2648.7510000000002</v>
      </c>
      <c r="D31" s="4"/>
      <c r="E31" s="4"/>
      <c r="F31" s="4"/>
    </row>
    <row r="32" spans="1:6" x14ac:dyDescent="0.25">
      <c r="A32" s="2">
        <v>96607</v>
      </c>
      <c r="B32" s="2">
        <v>45063</v>
      </c>
      <c r="C32" s="3">
        <v>2637.6792</v>
      </c>
      <c r="D32" s="4"/>
      <c r="E32" s="4"/>
      <c r="F32" s="4"/>
    </row>
    <row r="33" spans="1:6" x14ac:dyDescent="0.25">
      <c r="A33" s="2">
        <v>96276</v>
      </c>
      <c r="B33" s="2">
        <v>45088</v>
      </c>
      <c r="C33" s="3">
        <v>2695.2550999999999</v>
      </c>
      <c r="D33" s="4"/>
      <c r="E33" s="4"/>
      <c r="F33" s="4"/>
    </row>
    <row r="34" spans="1:6" x14ac:dyDescent="0.25">
      <c r="A34" s="2">
        <v>96073</v>
      </c>
      <c r="B34" s="2">
        <v>44941</v>
      </c>
      <c r="C34" s="3">
        <v>2720.3301000000001</v>
      </c>
      <c r="D34" s="4"/>
      <c r="E34" s="4"/>
      <c r="F34" s="4"/>
    </row>
    <row r="35" spans="1:6" x14ac:dyDescent="0.25">
      <c r="A35" s="2">
        <v>95720</v>
      </c>
      <c r="B35" s="2">
        <v>45043</v>
      </c>
      <c r="C35" s="3">
        <v>2709.1091000000001</v>
      </c>
      <c r="D35" s="4"/>
      <c r="E35" s="4"/>
      <c r="F35" s="4"/>
    </row>
    <row r="36" spans="1:6" x14ac:dyDescent="0.25">
      <c r="A36" s="2">
        <v>97507</v>
      </c>
      <c r="B36" s="2">
        <v>45061</v>
      </c>
      <c r="C36" s="3">
        <v>2700.1599000000001</v>
      </c>
      <c r="D36" s="4"/>
      <c r="E36" s="4"/>
      <c r="F36" s="4"/>
    </row>
    <row r="37" spans="1:6" x14ac:dyDescent="0.25">
      <c r="A37" s="2">
        <v>96377</v>
      </c>
      <c r="B37" s="2">
        <v>45046</v>
      </c>
      <c r="C37" s="3">
        <v>2719.1161999999999</v>
      </c>
      <c r="D37" s="4"/>
      <c r="E37" s="4"/>
      <c r="F37" s="4"/>
    </row>
    <row r="38" spans="1:6" x14ac:dyDescent="0.25">
      <c r="A38" s="2">
        <v>96484</v>
      </c>
      <c r="B38" s="2">
        <v>44893</v>
      </c>
      <c r="C38" s="3">
        <v>2693.2339000000002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00B0F0"/>
  </sheetPr>
  <dimension ref="A1:F39"/>
  <sheetViews>
    <sheetView zoomScaleNormal="100" workbookViewId="0">
      <selection activeCell="I39" sqref="I39"/>
    </sheetView>
  </sheetViews>
  <sheetFormatPr defaultRowHeight="15" x14ac:dyDescent="0.25"/>
  <cols>
    <col min="1" max="1" width="16.28515625" customWidth="1"/>
    <col min="2" max="3" width="12.7109375" customWidth="1"/>
    <col min="4" max="5" width="15.7109375" customWidth="1"/>
    <col min="6" max="6" width="12.7109375" customWidth="1"/>
  </cols>
  <sheetData>
    <row r="1" spans="1:6" ht="19.5" thickBot="1" x14ac:dyDescent="0.3">
      <c r="A1" s="38" t="s">
        <v>17</v>
      </c>
      <c r="B1" s="38"/>
      <c r="C1" s="38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SUBTOTAL(101,bubble100_[comparações])</f>
        <v>2249324511.6999998</v>
      </c>
      <c r="E2" s="5">
        <f>SUBTOTAL(101,bubble100_[trocas])</f>
        <v>2249324511.6999998</v>
      </c>
      <c r="F2" s="5">
        <f>SUBTOTAL(101,bubble100_[tempo (ms)])</f>
        <v>46621.516409999997</v>
      </c>
    </row>
    <row r="3" spans="1:6" x14ac:dyDescent="0.25">
      <c r="A3" s="2">
        <v>2244458243</v>
      </c>
      <c r="B3" s="2">
        <v>2244458243</v>
      </c>
      <c r="C3" s="3">
        <v>46729.152300000002</v>
      </c>
      <c r="D3" s="4"/>
      <c r="E3" s="4"/>
      <c r="F3" s="4"/>
    </row>
    <row r="4" spans="1:6" x14ac:dyDescent="0.25">
      <c r="A4" s="2">
        <v>2250662205</v>
      </c>
      <c r="B4" s="2">
        <v>2250662205</v>
      </c>
      <c r="C4" s="3">
        <v>46692.546900000001</v>
      </c>
      <c r="D4" s="4"/>
      <c r="E4" s="4"/>
      <c r="F4" s="4"/>
    </row>
    <row r="5" spans="1:6" x14ac:dyDescent="0.25">
      <c r="A5" s="2">
        <v>2251739142</v>
      </c>
      <c r="B5" s="2">
        <v>2251739142</v>
      </c>
      <c r="C5" s="3">
        <v>46334.484400000001</v>
      </c>
      <c r="D5" s="4"/>
      <c r="E5" s="4"/>
      <c r="F5" s="4"/>
    </row>
    <row r="6" spans="1:6" x14ac:dyDescent="0.25">
      <c r="A6" s="2">
        <v>2255352507</v>
      </c>
      <c r="B6" s="2">
        <v>2255352507</v>
      </c>
      <c r="C6" s="3">
        <v>46589.667999999998</v>
      </c>
      <c r="D6" s="4"/>
      <c r="E6" s="4"/>
      <c r="F6" s="4"/>
    </row>
    <row r="7" spans="1:6" x14ac:dyDescent="0.25">
      <c r="A7" s="2">
        <v>2251565718</v>
      </c>
      <c r="B7" s="2">
        <v>2251565718</v>
      </c>
      <c r="C7" s="3">
        <v>46646.976600000002</v>
      </c>
      <c r="D7" s="4"/>
      <c r="E7" s="4"/>
      <c r="F7" s="4"/>
    </row>
    <row r="8" spans="1:6" x14ac:dyDescent="0.25">
      <c r="A8" s="2">
        <v>2253423690</v>
      </c>
      <c r="B8" s="2">
        <v>2253423690</v>
      </c>
      <c r="C8" s="3">
        <v>47141.144500000002</v>
      </c>
      <c r="D8" s="4"/>
      <c r="E8" s="4"/>
      <c r="F8" s="4"/>
    </row>
    <row r="9" spans="1:6" x14ac:dyDescent="0.25">
      <c r="A9" s="2">
        <v>2246661706</v>
      </c>
      <c r="B9" s="2">
        <v>2246661706</v>
      </c>
      <c r="C9" s="3">
        <v>46983.699200000003</v>
      </c>
      <c r="D9" s="4"/>
      <c r="E9" s="4"/>
      <c r="F9" s="4"/>
    </row>
    <row r="10" spans="1:6" x14ac:dyDescent="0.25">
      <c r="A10" s="2">
        <v>2240614003</v>
      </c>
      <c r="B10" s="2">
        <v>2240614003</v>
      </c>
      <c r="C10" s="3">
        <v>46501.996099999997</v>
      </c>
      <c r="D10" s="4"/>
      <c r="E10" s="4"/>
      <c r="F10" s="4"/>
    </row>
    <row r="11" spans="1:6" x14ac:dyDescent="0.25">
      <c r="A11" s="2">
        <v>2251336593</v>
      </c>
      <c r="B11" s="2">
        <v>2251336593</v>
      </c>
      <c r="C11" s="3">
        <v>46263.960899999998</v>
      </c>
      <c r="D11" s="4"/>
      <c r="E11" s="4"/>
      <c r="F11" s="4"/>
    </row>
    <row r="12" spans="1:6" x14ac:dyDescent="0.25">
      <c r="A12" s="2">
        <v>2247431310</v>
      </c>
      <c r="B12" s="2">
        <v>2247431310</v>
      </c>
      <c r="C12" s="3">
        <v>46331.535199999998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8" t="s">
        <v>20</v>
      </c>
      <c r="B14" s="38"/>
      <c r="C14" s="38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SUBTOTAL(101,heap100[comparações])</f>
        <v>1841105.9</v>
      </c>
      <c r="E15" s="5">
        <f>SUBTOTAL(101,heap100[trocas])</f>
        <v>1419096.2</v>
      </c>
      <c r="F15" s="5">
        <f>SUBTOTAL(101,heap100[tempo (ms)])</f>
        <v>36.873100000000001</v>
      </c>
    </row>
    <row r="16" spans="1:6" x14ac:dyDescent="0.25">
      <c r="A16" s="2">
        <v>1841015</v>
      </c>
      <c r="B16" s="2">
        <v>1419002</v>
      </c>
      <c r="C16" s="3">
        <v>37.702100000000002</v>
      </c>
      <c r="D16" s="4"/>
      <c r="E16" s="4"/>
      <c r="F16" s="4"/>
    </row>
    <row r="17" spans="1:6" x14ac:dyDescent="0.25">
      <c r="A17" s="2">
        <v>1841015</v>
      </c>
      <c r="B17" s="2">
        <v>1419002</v>
      </c>
      <c r="C17" s="3">
        <v>37.786999999999999</v>
      </c>
      <c r="D17" s="4"/>
      <c r="E17" s="4"/>
      <c r="F17" s="4"/>
    </row>
    <row r="18" spans="1:6" x14ac:dyDescent="0.25">
      <c r="A18" s="2">
        <v>1841015</v>
      </c>
      <c r="B18" s="2">
        <v>1419002</v>
      </c>
      <c r="C18" s="3">
        <v>40.442900000000002</v>
      </c>
      <c r="D18" s="4"/>
      <c r="E18" s="4"/>
      <c r="F18" s="4"/>
    </row>
    <row r="19" spans="1:6" x14ac:dyDescent="0.25">
      <c r="A19" s="2">
        <v>1841015</v>
      </c>
      <c r="B19" s="2">
        <v>1419002</v>
      </c>
      <c r="C19" s="3">
        <v>36.461100000000002</v>
      </c>
      <c r="D19" s="4"/>
      <c r="E19" s="4"/>
      <c r="F19" s="4"/>
    </row>
    <row r="20" spans="1:6" x14ac:dyDescent="0.25">
      <c r="A20" s="2">
        <v>1841015</v>
      </c>
      <c r="B20" s="2">
        <v>1419002</v>
      </c>
      <c r="C20" s="3">
        <v>35.885800000000003</v>
      </c>
      <c r="D20" s="4"/>
      <c r="E20" s="4"/>
      <c r="F20" s="4"/>
    </row>
    <row r="21" spans="1:6" x14ac:dyDescent="0.25">
      <c r="A21" s="2">
        <v>1841015</v>
      </c>
      <c r="B21" s="2">
        <v>1419002</v>
      </c>
      <c r="C21" s="3">
        <v>36.208199999999998</v>
      </c>
      <c r="D21" s="4"/>
      <c r="E21" s="4"/>
      <c r="F21" s="4"/>
    </row>
    <row r="22" spans="1:6" x14ac:dyDescent="0.25">
      <c r="A22" s="2">
        <v>1841015</v>
      </c>
      <c r="B22" s="2">
        <v>1419002</v>
      </c>
      <c r="C22" s="3">
        <v>35.475000000000001</v>
      </c>
      <c r="D22" s="4"/>
      <c r="E22" s="4"/>
      <c r="F22" s="4"/>
    </row>
    <row r="23" spans="1:6" x14ac:dyDescent="0.25">
      <c r="A23" s="2">
        <v>1841318</v>
      </c>
      <c r="B23" s="2">
        <v>1419316</v>
      </c>
      <c r="C23" s="3">
        <v>35.980899999999998</v>
      </c>
      <c r="D23" s="4"/>
      <c r="E23" s="4"/>
      <c r="F23" s="4"/>
    </row>
    <row r="24" spans="1:6" x14ac:dyDescent="0.25">
      <c r="A24" s="2">
        <v>1841318</v>
      </c>
      <c r="B24" s="2">
        <v>1419316</v>
      </c>
      <c r="C24" s="3">
        <v>35.768000000000001</v>
      </c>
      <c r="D24" s="4"/>
      <c r="E24" s="4"/>
      <c r="F24" s="4"/>
    </row>
    <row r="25" spans="1:6" x14ac:dyDescent="0.25">
      <c r="A25" s="2">
        <v>1841318</v>
      </c>
      <c r="B25" s="2">
        <v>1419316</v>
      </c>
      <c r="C25" s="3">
        <v>37.020000000000003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8" t="s">
        <v>21</v>
      </c>
      <c r="B27" s="38"/>
      <c r="C27" s="38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SUBTOTAL(101,insertion100[comparações])</f>
        <v>2251491017.6999998</v>
      </c>
      <c r="E28" s="5">
        <f>SUBTOTAL(101,insertion100[trocas])</f>
        <v>2251491017.6999998</v>
      </c>
      <c r="F28" s="5">
        <f>SUBTOTAL(101,insertion100[tempo (ms)])</f>
        <v>20429.910169999996</v>
      </c>
    </row>
    <row r="29" spans="1:6" x14ac:dyDescent="0.25">
      <c r="A29" s="2">
        <v>2245284326</v>
      </c>
      <c r="B29" s="2">
        <v>2245284326</v>
      </c>
      <c r="C29" s="3">
        <v>20533.6387</v>
      </c>
      <c r="D29" s="4"/>
      <c r="E29" s="4"/>
      <c r="F29" s="4"/>
    </row>
    <row r="30" spans="1:6" x14ac:dyDescent="0.25">
      <c r="A30" s="2">
        <v>2246390731</v>
      </c>
      <c r="B30" s="2">
        <v>2246390731</v>
      </c>
      <c r="C30" s="3">
        <v>20390.863300000001</v>
      </c>
      <c r="D30" s="4"/>
      <c r="E30" s="4"/>
      <c r="F30" s="4"/>
    </row>
    <row r="31" spans="1:6" x14ac:dyDescent="0.25">
      <c r="A31" s="2">
        <v>2250208246</v>
      </c>
      <c r="B31" s="2">
        <v>2250208246</v>
      </c>
      <c r="C31" s="3">
        <v>20738.160199999998</v>
      </c>
      <c r="D31" s="4"/>
      <c r="E31" s="4"/>
      <c r="F31" s="4"/>
    </row>
    <row r="32" spans="1:6" x14ac:dyDescent="0.25">
      <c r="A32" s="2">
        <v>2259035135</v>
      </c>
      <c r="B32" s="2">
        <v>2259035135</v>
      </c>
      <c r="C32" s="3">
        <v>20556.984400000001</v>
      </c>
      <c r="D32" s="4"/>
      <c r="E32" s="4"/>
      <c r="F32" s="4"/>
    </row>
    <row r="33" spans="1:6" x14ac:dyDescent="0.25">
      <c r="A33" s="2">
        <v>2258724049</v>
      </c>
      <c r="B33" s="2">
        <v>2258724049</v>
      </c>
      <c r="C33" s="3">
        <v>20366.017599999999</v>
      </c>
      <c r="D33" s="4"/>
      <c r="E33" s="4"/>
      <c r="F33" s="4"/>
    </row>
    <row r="34" spans="1:6" x14ac:dyDescent="0.25">
      <c r="A34" s="2">
        <v>2246612514</v>
      </c>
      <c r="B34" s="2">
        <v>2246612514</v>
      </c>
      <c r="C34" s="3">
        <v>20324.992200000001</v>
      </c>
      <c r="D34" s="4"/>
      <c r="E34" s="4"/>
      <c r="F34" s="4"/>
    </row>
    <row r="35" spans="1:6" x14ac:dyDescent="0.25">
      <c r="A35" s="2">
        <v>2246991316</v>
      </c>
      <c r="B35" s="2">
        <v>2246991316</v>
      </c>
      <c r="C35" s="3">
        <v>20463.007799999999</v>
      </c>
      <c r="D35" s="4"/>
      <c r="E35" s="4"/>
      <c r="F35" s="4"/>
    </row>
    <row r="36" spans="1:6" x14ac:dyDescent="0.25">
      <c r="A36" s="2">
        <v>2252029145</v>
      </c>
      <c r="B36" s="2">
        <v>2252029145</v>
      </c>
      <c r="C36" s="3">
        <v>20183.132799999999</v>
      </c>
      <c r="D36" s="4"/>
      <c r="E36" s="4"/>
      <c r="F36" s="4"/>
    </row>
    <row r="37" spans="1:6" x14ac:dyDescent="0.25">
      <c r="A37" s="2">
        <v>2250948506</v>
      </c>
      <c r="B37" s="2">
        <v>2250948506</v>
      </c>
      <c r="C37" s="3">
        <v>20300.8809</v>
      </c>
      <c r="D37" s="4"/>
      <c r="E37" s="4"/>
      <c r="F37" s="4"/>
    </row>
    <row r="38" spans="1:6" x14ac:dyDescent="0.25">
      <c r="A38" s="2">
        <v>2258686209</v>
      </c>
      <c r="B38" s="2">
        <v>2258686209</v>
      </c>
      <c r="C38" s="3">
        <v>20441.4238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>
    <tabColor rgb="FF00B0F0"/>
  </sheetPr>
  <dimension ref="A1:F39"/>
  <sheetViews>
    <sheetView zoomScaleNormal="100" workbookViewId="0">
      <selection activeCell="D28" sqref="D28"/>
    </sheetView>
  </sheetViews>
  <sheetFormatPr defaultRowHeight="15" x14ac:dyDescent="0.25"/>
  <cols>
    <col min="1" max="1" width="16.28515625" customWidth="1"/>
    <col min="2" max="3" width="12.7109375" customWidth="1"/>
    <col min="4" max="5" width="15.7109375" customWidth="1"/>
    <col min="6" max="6" width="12.7109375" customWidth="1"/>
  </cols>
  <sheetData>
    <row r="1" spans="1:6" ht="19.5" thickBot="1" x14ac:dyDescent="0.3">
      <c r="A1" s="38" t="s">
        <v>23</v>
      </c>
      <c r="B1" s="38"/>
      <c r="C1" s="38"/>
      <c r="D1" s="4"/>
      <c r="E1" s="4"/>
      <c r="F1" s="4"/>
    </row>
    <row r="2" spans="1:6" ht="15.75" thickTop="1" x14ac:dyDescent="0.25">
      <c r="A2" s="1" t="s">
        <v>18</v>
      </c>
      <c r="B2" s="1" t="s">
        <v>19</v>
      </c>
      <c r="C2" s="1" t="s">
        <v>22</v>
      </c>
      <c r="D2" s="5">
        <f>SUBTOTAL(101,merge100[comparações])</f>
        <v>1479957.7</v>
      </c>
      <c r="E2" s="5">
        <f>SUBTOTAL(101,merge100[trocas])</f>
        <v>1479957.7</v>
      </c>
      <c r="F2" s="5">
        <f>SUBTOTAL(101,merge100[tempo (ms)])</f>
        <v>25.664929999999998</v>
      </c>
    </row>
    <row r="3" spans="1:6" x14ac:dyDescent="0.25">
      <c r="A3" s="2">
        <v>1480291</v>
      </c>
      <c r="B3" s="2">
        <v>1480291</v>
      </c>
      <c r="C3" s="3">
        <v>25.456900000000001</v>
      </c>
      <c r="D3" s="4"/>
      <c r="E3" s="4"/>
      <c r="F3" s="4"/>
    </row>
    <row r="4" spans="1:6" x14ac:dyDescent="0.25">
      <c r="A4" s="2">
        <v>1480291</v>
      </c>
      <c r="B4" s="2">
        <v>1480291</v>
      </c>
      <c r="C4" s="3">
        <v>26.8781</v>
      </c>
      <c r="D4" s="4"/>
      <c r="E4" s="4"/>
      <c r="F4" s="4"/>
    </row>
    <row r="5" spans="1:6" x14ac:dyDescent="0.25">
      <c r="A5" s="2">
        <v>1480291</v>
      </c>
      <c r="B5" s="2">
        <v>1480291</v>
      </c>
      <c r="C5" s="3">
        <v>26.027000000000001</v>
      </c>
      <c r="D5" s="4"/>
      <c r="E5" s="4"/>
      <c r="F5" s="4"/>
    </row>
    <row r="6" spans="1:6" x14ac:dyDescent="0.25">
      <c r="A6" s="2">
        <v>1480291</v>
      </c>
      <c r="B6" s="2">
        <v>1480291</v>
      </c>
      <c r="C6" s="3">
        <v>26.809000000000001</v>
      </c>
      <c r="D6" s="4"/>
      <c r="E6" s="4"/>
      <c r="F6" s="4"/>
    </row>
    <row r="7" spans="1:6" x14ac:dyDescent="0.25">
      <c r="A7" s="2">
        <v>1480291</v>
      </c>
      <c r="B7" s="2">
        <v>1480291</v>
      </c>
      <c r="C7" s="3">
        <v>26.179099999999998</v>
      </c>
      <c r="D7" s="4"/>
      <c r="E7" s="4"/>
      <c r="F7" s="4"/>
    </row>
    <row r="8" spans="1:6" x14ac:dyDescent="0.25">
      <c r="A8" s="2">
        <v>1480291</v>
      </c>
      <c r="B8" s="2">
        <v>1480291</v>
      </c>
      <c r="C8" s="3">
        <v>25.140999999999998</v>
      </c>
      <c r="D8" s="4"/>
      <c r="E8" s="4"/>
      <c r="F8" s="4"/>
    </row>
    <row r="9" spans="1:6" x14ac:dyDescent="0.25">
      <c r="A9" s="2">
        <v>1480291</v>
      </c>
      <c r="B9" s="2">
        <v>1480291</v>
      </c>
      <c r="C9" s="3">
        <v>24.982199999999999</v>
      </c>
      <c r="D9" s="4"/>
      <c r="E9" s="4"/>
      <c r="F9" s="4"/>
    </row>
    <row r="10" spans="1:6" x14ac:dyDescent="0.25">
      <c r="A10" s="2">
        <v>1479180</v>
      </c>
      <c r="B10" s="2">
        <v>1479180</v>
      </c>
      <c r="C10" s="3">
        <v>25.129100000000001</v>
      </c>
      <c r="D10" s="4"/>
      <c r="E10" s="4"/>
      <c r="F10" s="4"/>
    </row>
    <row r="11" spans="1:6" x14ac:dyDescent="0.25">
      <c r="A11" s="2">
        <v>1479180</v>
      </c>
      <c r="B11" s="2">
        <v>1479180</v>
      </c>
      <c r="C11" s="3">
        <v>25.1219</v>
      </c>
      <c r="D11" s="4"/>
      <c r="E11" s="4"/>
      <c r="F11" s="4"/>
    </row>
    <row r="12" spans="1:6" x14ac:dyDescent="0.25">
      <c r="A12" s="2">
        <v>1479180</v>
      </c>
      <c r="B12" s="2">
        <v>1479180</v>
      </c>
      <c r="C12" s="3">
        <v>24.925000000000001</v>
      </c>
      <c r="D12" s="4"/>
      <c r="E12" s="4"/>
      <c r="F12" s="4"/>
    </row>
    <row r="13" spans="1:6" x14ac:dyDescent="0.25">
      <c r="D13" s="4"/>
      <c r="E13" s="4"/>
      <c r="F13" s="4"/>
    </row>
    <row r="14" spans="1:6" ht="19.5" thickBot="1" x14ac:dyDescent="0.3">
      <c r="A14" s="38" t="s">
        <v>24</v>
      </c>
      <c r="B14" s="38"/>
      <c r="C14" s="38"/>
      <c r="D14" s="4"/>
      <c r="E14" s="4"/>
      <c r="F14" s="4"/>
    </row>
    <row r="15" spans="1:6" ht="15.75" thickTop="1" x14ac:dyDescent="0.25">
      <c r="A15" s="1" t="s">
        <v>18</v>
      </c>
      <c r="B15" s="1" t="s">
        <v>19</v>
      </c>
      <c r="C15" s="1" t="s">
        <v>22</v>
      </c>
      <c r="D15" s="5">
        <f>SUBTOTAL(101,quick100[comparações])</f>
        <v>251642.2</v>
      </c>
      <c r="E15" s="5">
        <f>SUBTOTAL(101,quick100[trocas])</f>
        <v>712750.4</v>
      </c>
      <c r="F15" s="5">
        <f>SUBTOTAL(101,quick100[tempo (ms)])</f>
        <v>12.92699</v>
      </c>
    </row>
    <row r="16" spans="1:6" x14ac:dyDescent="0.25">
      <c r="A16" s="2">
        <v>285790</v>
      </c>
      <c r="B16" s="2">
        <v>712256</v>
      </c>
      <c r="C16" s="3">
        <v>14.244999999999999</v>
      </c>
      <c r="D16" s="4"/>
      <c r="E16" s="4"/>
      <c r="F16" s="4"/>
    </row>
    <row r="17" spans="1:6" x14ac:dyDescent="0.25">
      <c r="A17" s="2">
        <v>285790</v>
      </c>
      <c r="B17" s="2">
        <v>712256</v>
      </c>
      <c r="C17" s="3">
        <v>14.853999999999999</v>
      </c>
      <c r="D17" s="4"/>
      <c r="E17" s="4"/>
      <c r="F17" s="4"/>
    </row>
    <row r="18" spans="1:6" x14ac:dyDescent="0.25">
      <c r="A18" s="2">
        <v>285790</v>
      </c>
      <c r="B18" s="2">
        <v>712256</v>
      </c>
      <c r="C18" s="3">
        <v>13.0029</v>
      </c>
      <c r="D18" s="4"/>
      <c r="E18" s="4"/>
      <c r="F18" s="4"/>
    </row>
    <row r="19" spans="1:6" x14ac:dyDescent="0.25">
      <c r="A19" s="2">
        <v>285790</v>
      </c>
      <c r="B19" s="2">
        <v>712256</v>
      </c>
      <c r="C19" s="3">
        <v>11.888999999999999</v>
      </c>
      <c r="D19" s="4"/>
      <c r="E19" s="4"/>
      <c r="F19" s="4"/>
    </row>
    <row r="20" spans="1:6" x14ac:dyDescent="0.25">
      <c r="A20" s="2">
        <v>228877</v>
      </c>
      <c r="B20" s="2">
        <v>713080</v>
      </c>
      <c r="C20" s="3">
        <v>11.518000000000001</v>
      </c>
      <c r="D20" s="4"/>
      <c r="E20" s="4"/>
      <c r="F20" s="4"/>
    </row>
    <row r="21" spans="1:6" x14ac:dyDescent="0.25">
      <c r="A21" s="2">
        <v>228877</v>
      </c>
      <c r="B21" s="2">
        <v>713080</v>
      </c>
      <c r="C21" s="3">
        <v>11.7319</v>
      </c>
      <c r="D21" s="4"/>
      <c r="E21" s="4"/>
      <c r="F21" s="4"/>
    </row>
    <row r="22" spans="1:6" x14ac:dyDescent="0.25">
      <c r="A22" s="2">
        <v>228877</v>
      </c>
      <c r="B22" s="2">
        <v>713080</v>
      </c>
      <c r="C22" s="3">
        <v>12.777100000000001</v>
      </c>
      <c r="D22" s="4"/>
      <c r="E22" s="4"/>
      <c r="F22" s="4"/>
    </row>
    <row r="23" spans="1:6" x14ac:dyDescent="0.25">
      <c r="A23" s="2">
        <v>228877</v>
      </c>
      <c r="B23" s="2">
        <v>713080</v>
      </c>
      <c r="C23" s="3">
        <v>14.761900000000001</v>
      </c>
      <c r="D23" s="4"/>
      <c r="E23" s="4"/>
      <c r="F23" s="4"/>
    </row>
    <row r="24" spans="1:6" x14ac:dyDescent="0.25">
      <c r="A24" s="2">
        <v>228877</v>
      </c>
      <c r="B24" s="2">
        <v>713080</v>
      </c>
      <c r="C24" s="3">
        <v>11.9841</v>
      </c>
      <c r="D24" s="4"/>
      <c r="E24" s="4"/>
      <c r="F24" s="4"/>
    </row>
    <row r="25" spans="1:6" x14ac:dyDescent="0.25">
      <c r="A25" s="2">
        <v>228877</v>
      </c>
      <c r="B25" s="2">
        <v>713080</v>
      </c>
      <c r="C25" s="3">
        <v>12.506</v>
      </c>
      <c r="D25" s="4"/>
      <c r="E25" s="4"/>
      <c r="F25" s="4"/>
    </row>
    <row r="26" spans="1:6" x14ac:dyDescent="0.25">
      <c r="D26" s="4"/>
      <c r="E26" s="4"/>
      <c r="F26" s="4"/>
    </row>
    <row r="27" spans="1:6" ht="19.5" thickBot="1" x14ac:dyDescent="0.3">
      <c r="A27" s="38" t="s">
        <v>25</v>
      </c>
      <c r="B27" s="38"/>
      <c r="C27" s="38"/>
      <c r="D27" s="4"/>
      <c r="E27" s="4"/>
      <c r="F27" s="4"/>
    </row>
    <row r="28" spans="1:6" ht="15.75" thickTop="1" x14ac:dyDescent="0.25">
      <c r="A28" s="1" t="s">
        <v>18</v>
      </c>
      <c r="B28" s="1" t="s">
        <v>19</v>
      </c>
      <c r="C28" s="1" t="s">
        <v>22</v>
      </c>
      <c r="D28" s="5">
        <f>SUBTOTAL(101,selection100[comparações])</f>
        <v>192833.9</v>
      </c>
      <c r="E28" s="5">
        <f>SUBTOTAL(101,selection100[trocas])</f>
        <v>89999</v>
      </c>
      <c r="F28" s="5">
        <f>SUBTOTAL(101,selection100[tempo (ms)])</f>
        <v>10634.502340000001</v>
      </c>
    </row>
    <row r="29" spans="1:6" x14ac:dyDescent="0.25">
      <c r="A29" s="2">
        <v>192531</v>
      </c>
      <c r="B29" s="2">
        <v>89892</v>
      </c>
      <c r="C29" s="3">
        <v>10601.0283</v>
      </c>
      <c r="D29" s="4"/>
      <c r="E29" s="4"/>
      <c r="F29" s="4"/>
    </row>
    <row r="30" spans="1:6" x14ac:dyDescent="0.25">
      <c r="A30" s="2">
        <v>192739</v>
      </c>
      <c r="B30" s="2">
        <v>89917</v>
      </c>
      <c r="C30" s="3">
        <v>10609.833000000001</v>
      </c>
      <c r="D30" s="4"/>
      <c r="E30" s="4"/>
      <c r="F30" s="4"/>
    </row>
    <row r="31" spans="1:6" x14ac:dyDescent="0.25">
      <c r="A31" s="2">
        <v>192823</v>
      </c>
      <c r="B31" s="2">
        <v>89898</v>
      </c>
      <c r="C31" s="3">
        <v>10618.9678</v>
      </c>
      <c r="D31" s="4"/>
      <c r="E31" s="4"/>
      <c r="F31" s="4"/>
    </row>
    <row r="32" spans="1:6" x14ac:dyDescent="0.25">
      <c r="A32" s="2">
        <v>192979</v>
      </c>
      <c r="B32" s="2">
        <v>89899</v>
      </c>
      <c r="C32" s="3">
        <v>10633.4355</v>
      </c>
      <c r="D32" s="4"/>
      <c r="E32" s="4"/>
      <c r="F32" s="4"/>
    </row>
    <row r="33" spans="1:6" x14ac:dyDescent="0.25">
      <c r="A33" s="2">
        <v>193474</v>
      </c>
      <c r="B33" s="2">
        <v>90172</v>
      </c>
      <c r="C33" s="3">
        <v>10654.7246</v>
      </c>
      <c r="D33" s="4"/>
      <c r="E33" s="4"/>
      <c r="F33" s="4"/>
    </row>
    <row r="34" spans="1:6" x14ac:dyDescent="0.25">
      <c r="A34" s="2">
        <v>192917</v>
      </c>
      <c r="B34" s="2">
        <v>89992</v>
      </c>
      <c r="C34" s="3">
        <v>10653.520500000001</v>
      </c>
      <c r="D34" s="4"/>
      <c r="E34" s="4"/>
      <c r="F34" s="4"/>
    </row>
    <row r="35" spans="1:6" x14ac:dyDescent="0.25">
      <c r="A35" s="2">
        <v>192341</v>
      </c>
      <c r="B35" s="2">
        <v>89962</v>
      </c>
      <c r="C35" s="3">
        <v>10613.6602</v>
      </c>
      <c r="D35" s="4"/>
      <c r="E35" s="4"/>
      <c r="F35" s="4"/>
    </row>
    <row r="36" spans="1:6" x14ac:dyDescent="0.25">
      <c r="A36" s="2">
        <v>192564</v>
      </c>
      <c r="B36" s="2">
        <v>90128</v>
      </c>
      <c r="C36" s="3">
        <v>10624.0928</v>
      </c>
      <c r="D36" s="4"/>
      <c r="E36" s="4"/>
      <c r="F36" s="4"/>
    </row>
    <row r="37" spans="1:6" x14ac:dyDescent="0.25">
      <c r="A37" s="2">
        <v>192617</v>
      </c>
      <c r="B37" s="2">
        <v>90076</v>
      </c>
      <c r="C37" s="3">
        <v>10637.020500000001</v>
      </c>
      <c r="D37" s="4"/>
      <c r="E37" s="4"/>
      <c r="F37" s="4"/>
    </row>
    <row r="38" spans="1:6" x14ac:dyDescent="0.25">
      <c r="A38" s="2">
        <v>193354</v>
      </c>
      <c r="B38" s="2">
        <v>90054</v>
      </c>
      <c r="C38" s="3">
        <v>10698.7402</v>
      </c>
      <c r="D38" s="4"/>
      <c r="E38" s="4"/>
      <c r="F38" s="4"/>
    </row>
    <row r="39" spans="1:6" x14ac:dyDescent="0.25">
      <c r="A39" s="2"/>
      <c r="B39" s="2"/>
      <c r="C39" s="3"/>
    </row>
  </sheetData>
  <mergeCells count="3">
    <mergeCell ref="A1:C1"/>
    <mergeCell ref="A14:C14"/>
    <mergeCell ref="A27:C27"/>
  </mergeCell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parte1</vt:lpstr>
      <vt:lpstr>parte1 (split)</vt:lpstr>
      <vt:lpstr>parte2</vt:lpstr>
      <vt:lpstr>parte3</vt:lpstr>
      <vt:lpstr>1k(1)</vt:lpstr>
      <vt:lpstr>1k(2)</vt:lpstr>
      <vt:lpstr>5k(1)</vt:lpstr>
      <vt:lpstr>5k(2)</vt:lpstr>
      <vt:lpstr>10k(1)</vt:lpstr>
      <vt:lpstr>10k(2)</vt:lpstr>
      <vt:lpstr>20k(1)</vt:lpstr>
      <vt:lpstr>20k(2)</vt:lpstr>
      <vt:lpstr>50k(1)</vt:lpstr>
      <vt:lpstr>50k(2)</vt:lpstr>
      <vt:lpstr>100k(1)</vt:lpstr>
      <vt:lpstr>100k(2)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TP4-parte2</dc:title>
  <dc:creator>Micael</dc:creator>
  <cp:lastModifiedBy>Micael</cp:lastModifiedBy>
  <cp:lastPrinted>2017-04-14T05:03:42Z</cp:lastPrinted>
  <dcterms:created xsi:type="dcterms:W3CDTF">2017-04-09T02:24:05Z</dcterms:created>
  <dcterms:modified xsi:type="dcterms:W3CDTF">2017-04-14T06:05:20Z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9f435758-f414-4d66-8719-bc0502caf86f</vt:lpwstr>
  </property>
</Properties>
</file>